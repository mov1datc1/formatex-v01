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per\Desktop\FORMATEX 19-12\FORMATEX\19_CHIEF OF STAFF\01_Aumento de precios FORMATEX JUN-26\"/>
    </mc:Choice>
  </mc:AlternateContent>
  <xr:revisionPtr revIDLastSave="0" documentId="8_{D045A7E8-A38B-4700-88C5-F5844966E0DB}" xr6:coauthVersionLast="47" xr6:coauthVersionMax="47" xr10:uidLastSave="{00000000-0000-0000-0000-000000000000}"/>
  <bookViews>
    <workbookView xWindow="-120" yWindow="-120" windowWidth="25440" windowHeight="15270" xr2:uid="{0C222173-D446-4B5F-BF46-376B08274B08}"/>
  </bookViews>
  <sheets>
    <sheet name="PRECIOS ESP" sheetId="2" r:id="rId1"/>
    <sheet name="PLACENCIA" sheetId="3" r:id="rId2"/>
  </sheets>
  <externalReferences>
    <externalReference r:id="rId3"/>
    <externalReference r:id="rId4"/>
  </externalReferences>
  <definedNames>
    <definedName name="_xlnm._FilterDatabase" localSheetId="1" hidden="1">PLACENCIA!$A$3:$E$3</definedName>
    <definedName name="_xlnm._FilterDatabase" localSheetId="0" hidden="1">'PRECIOS ESP'!$A$2:$I$227</definedName>
    <definedName name="_xlnm.Print_Titles" localSheetId="1">PLACENCIA!$2:$3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3" l="1"/>
  <c r="E5" i="3"/>
  <c r="E6" i="3"/>
  <c r="E7" i="3"/>
  <c r="C8" i="3"/>
  <c r="E8" i="3" s="1"/>
  <c r="C9" i="3"/>
  <c r="E9" i="3" s="1"/>
  <c r="C10" i="3"/>
  <c r="E10" i="3" s="1"/>
  <c r="C11" i="3"/>
  <c r="E11" i="3" s="1"/>
  <c r="C12" i="3"/>
  <c r="E12" i="3" s="1"/>
  <c r="C13" i="3"/>
  <c r="E13" i="3" s="1"/>
  <c r="C14" i="3"/>
  <c r="E14" i="3" s="1"/>
  <c r="C15" i="3"/>
  <c r="E15" i="3" s="1"/>
  <c r="C16" i="3"/>
  <c r="E16" i="3" s="1"/>
  <c r="C17" i="3"/>
  <c r="E17" i="3" s="1"/>
  <c r="C18" i="3"/>
  <c r="E18" i="3" s="1"/>
  <c r="C19" i="3"/>
  <c r="E19" i="3" s="1"/>
  <c r="C20" i="3"/>
  <c r="E20" i="3" s="1"/>
  <c r="C21" i="3"/>
  <c r="E21" i="3" s="1"/>
  <c r="C22" i="3"/>
  <c r="E22" i="3" s="1"/>
  <c r="C23" i="3"/>
  <c r="E23" i="3" s="1"/>
  <c r="F151" i="2"/>
  <c r="F154" i="2"/>
  <c r="H154" i="2" s="1" a="1"/>
  <c r="H154" i="2" s="1"/>
  <c r="E3" i="2"/>
  <c r="G3" i="2"/>
  <c r="H3" i="2" a="1"/>
  <c r="H3" i="2" s="1"/>
  <c r="I3" i="2"/>
  <c r="E4" i="2"/>
  <c r="G4" i="2"/>
  <c r="H4" i="2" a="1"/>
  <c r="H4" i="2" s="1"/>
  <c r="I4" i="2"/>
  <c r="E5" i="2"/>
  <c r="G5" i="2"/>
  <c r="H5" i="2" a="1"/>
  <c r="H5" i="2" s="1"/>
  <c r="I5" i="2"/>
  <c r="E6" i="2"/>
  <c r="G6" i="2"/>
  <c r="H6" i="2" a="1"/>
  <c r="H6" i="2" s="1"/>
  <c r="I6" i="2"/>
  <c r="E7" i="2"/>
  <c r="G7" i="2"/>
  <c r="H7" i="2" a="1"/>
  <c r="H7" i="2" s="1"/>
  <c r="I7" i="2"/>
  <c r="E8" i="2"/>
  <c r="G8" i="2"/>
  <c r="H8" i="2" a="1"/>
  <c r="H8" i="2" s="1"/>
  <c r="I8" i="2"/>
  <c r="E9" i="2"/>
  <c r="G9" i="2"/>
  <c r="H9" i="2" a="1"/>
  <c r="H9" i="2" s="1"/>
  <c r="I9" i="2"/>
  <c r="E10" i="2"/>
  <c r="G10" i="2"/>
  <c r="H10" i="2" a="1"/>
  <c r="H10" i="2" s="1"/>
  <c r="I10" i="2"/>
  <c r="E11" i="2"/>
  <c r="G11" i="2"/>
  <c r="H11" i="2" a="1"/>
  <c r="H11" i="2" s="1"/>
  <c r="I11" i="2"/>
  <c r="E12" i="2"/>
  <c r="G12" i="2"/>
  <c r="H12" i="2" a="1"/>
  <c r="H12" i="2" s="1"/>
  <c r="I12" i="2"/>
  <c r="E13" i="2"/>
  <c r="G13" i="2"/>
  <c r="H13" i="2" a="1"/>
  <c r="H13" i="2" s="1"/>
  <c r="I13" i="2"/>
  <c r="E14" i="2"/>
  <c r="G14" i="2"/>
  <c r="H14" i="2" a="1"/>
  <c r="H14" i="2" s="1"/>
  <c r="I14" i="2"/>
  <c r="E15" i="2"/>
  <c r="G15" i="2"/>
  <c r="H15" i="2" a="1"/>
  <c r="H15" i="2" s="1"/>
  <c r="I15" i="2"/>
  <c r="E16" i="2"/>
  <c r="G16" i="2"/>
  <c r="H16" i="2" a="1"/>
  <c r="H16" i="2" s="1"/>
  <c r="I16" i="2"/>
  <c r="E17" i="2"/>
  <c r="G17" i="2"/>
  <c r="H17" i="2" a="1"/>
  <c r="H17" i="2" s="1"/>
  <c r="I17" i="2"/>
  <c r="E18" i="2"/>
  <c r="G18" i="2"/>
  <c r="H18" i="2" a="1"/>
  <c r="H18" i="2" s="1"/>
  <c r="I18" i="2"/>
  <c r="E19" i="2"/>
  <c r="G19" i="2"/>
  <c r="H19" i="2" a="1"/>
  <c r="H19" i="2" s="1"/>
  <c r="I19" i="2"/>
  <c r="E20" i="2"/>
  <c r="G20" i="2"/>
  <c r="H20" i="2" a="1"/>
  <c r="H20" i="2" s="1"/>
  <c r="I20" i="2"/>
  <c r="E21" i="2"/>
  <c r="G21" i="2"/>
  <c r="H21" i="2" a="1"/>
  <c r="H21" i="2" s="1"/>
  <c r="I21" i="2"/>
  <c r="E22" i="2"/>
  <c r="G22" i="2"/>
  <c r="H22" i="2" a="1"/>
  <c r="H22" i="2" s="1"/>
  <c r="I22" i="2"/>
  <c r="E23" i="2"/>
  <c r="G23" i="2"/>
  <c r="H23" i="2" a="1"/>
  <c r="H23" i="2" s="1"/>
  <c r="I23" i="2"/>
  <c r="E24" i="2"/>
  <c r="G24" i="2"/>
  <c r="H24" i="2" a="1"/>
  <c r="H24" i="2" s="1"/>
  <c r="I24" i="2"/>
  <c r="E25" i="2"/>
  <c r="G25" i="2"/>
  <c r="H25" i="2" a="1"/>
  <c r="H25" i="2" s="1"/>
  <c r="I25" i="2"/>
  <c r="E26" i="2"/>
  <c r="G26" i="2"/>
  <c r="H26" i="2" a="1"/>
  <c r="H26" i="2" s="1"/>
  <c r="I26" i="2"/>
  <c r="E27" i="2"/>
  <c r="G27" i="2"/>
  <c r="H27" i="2" a="1"/>
  <c r="H27" i="2" s="1"/>
  <c r="I27" i="2"/>
  <c r="E28" i="2"/>
  <c r="G28" i="2"/>
  <c r="H28" i="2" a="1"/>
  <c r="H28" i="2" s="1"/>
  <c r="I28" i="2"/>
  <c r="E29" i="2"/>
  <c r="G29" i="2"/>
  <c r="H29" i="2" a="1"/>
  <c r="H29" i="2" s="1"/>
  <c r="I29" i="2"/>
  <c r="E30" i="2"/>
  <c r="G30" i="2"/>
  <c r="H30" i="2" a="1"/>
  <c r="H30" i="2" s="1"/>
  <c r="I30" i="2"/>
  <c r="E31" i="2"/>
  <c r="G31" i="2"/>
  <c r="H31" i="2" a="1"/>
  <c r="H31" i="2" s="1"/>
  <c r="I31" i="2"/>
  <c r="E32" i="2"/>
  <c r="G32" i="2"/>
  <c r="H32" i="2" a="1"/>
  <c r="H32" i="2" s="1"/>
  <c r="I32" i="2"/>
  <c r="E33" i="2"/>
  <c r="G33" i="2"/>
  <c r="H33" i="2" a="1"/>
  <c r="H33" i="2" s="1"/>
  <c r="I33" i="2"/>
  <c r="E34" i="2"/>
  <c r="G34" i="2"/>
  <c r="H34" i="2" a="1"/>
  <c r="H34" i="2" s="1"/>
  <c r="I34" i="2"/>
  <c r="E35" i="2"/>
  <c r="G35" i="2"/>
  <c r="H35" i="2" a="1"/>
  <c r="H35" i="2" s="1"/>
  <c r="I35" i="2"/>
  <c r="E36" i="2"/>
  <c r="G36" i="2"/>
  <c r="H36" i="2" a="1"/>
  <c r="H36" i="2" s="1"/>
  <c r="I36" i="2"/>
  <c r="E37" i="2"/>
  <c r="G37" i="2"/>
  <c r="H37" i="2" a="1"/>
  <c r="H37" i="2" s="1"/>
  <c r="I37" i="2"/>
  <c r="E38" i="2"/>
  <c r="G38" i="2"/>
  <c r="H38" i="2" a="1"/>
  <c r="H38" i="2" s="1"/>
  <c r="I38" i="2"/>
  <c r="E39" i="2"/>
  <c r="G39" i="2"/>
  <c r="H39" i="2" a="1"/>
  <c r="H39" i="2" s="1"/>
  <c r="I39" i="2"/>
  <c r="E40" i="2"/>
  <c r="G40" i="2"/>
  <c r="H40" i="2" a="1"/>
  <c r="H40" i="2" s="1"/>
  <c r="I40" i="2"/>
  <c r="E41" i="2"/>
  <c r="G41" i="2"/>
  <c r="H41" i="2" a="1"/>
  <c r="H41" i="2" s="1"/>
  <c r="I41" i="2"/>
  <c r="E42" i="2"/>
  <c r="G42" i="2"/>
  <c r="H42" i="2" a="1"/>
  <c r="H42" i="2" s="1"/>
  <c r="I42" i="2"/>
  <c r="E43" i="2"/>
  <c r="G43" i="2"/>
  <c r="H43" i="2" a="1"/>
  <c r="H43" i="2" s="1"/>
  <c r="I43" i="2"/>
  <c r="E44" i="2"/>
  <c r="G44" i="2"/>
  <c r="H44" i="2" a="1"/>
  <c r="H44" i="2" s="1"/>
  <c r="I44" i="2"/>
  <c r="E45" i="2"/>
  <c r="G45" i="2"/>
  <c r="H45" i="2" a="1"/>
  <c r="H45" i="2" s="1"/>
  <c r="I45" i="2"/>
  <c r="E46" i="2"/>
  <c r="G46" i="2"/>
  <c r="H46" i="2" a="1"/>
  <c r="H46" i="2" s="1"/>
  <c r="I46" i="2"/>
  <c r="E47" i="2"/>
  <c r="G47" i="2"/>
  <c r="H47" i="2" a="1"/>
  <c r="H47" i="2" s="1"/>
  <c r="I47" i="2"/>
  <c r="E48" i="2"/>
  <c r="G48" i="2"/>
  <c r="H48" i="2" a="1"/>
  <c r="H48" i="2" s="1"/>
  <c r="I48" i="2"/>
  <c r="E49" i="2"/>
  <c r="G49" i="2"/>
  <c r="H49" i="2" a="1"/>
  <c r="H49" i="2" s="1"/>
  <c r="I49" i="2"/>
  <c r="E50" i="2"/>
  <c r="G50" i="2"/>
  <c r="H50" i="2" a="1"/>
  <c r="H50" i="2" s="1"/>
  <c r="I50" i="2"/>
  <c r="E51" i="2"/>
  <c r="G51" i="2"/>
  <c r="H51" i="2" a="1"/>
  <c r="H51" i="2" s="1"/>
  <c r="I51" i="2"/>
  <c r="E52" i="2"/>
  <c r="G52" i="2"/>
  <c r="H52" i="2" a="1"/>
  <c r="H52" i="2" s="1"/>
  <c r="I52" i="2"/>
  <c r="E53" i="2"/>
  <c r="G53" i="2"/>
  <c r="H53" i="2" a="1"/>
  <c r="H53" i="2" s="1"/>
  <c r="I53" i="2"/>
  <c r="E54" i="2"/>
  <c r="G54" i="2"/>
  <c r="H54" i="2" a="1"/>
  <c r="H54" i="2" s="1"/>
  <c r="I54" i="2"/>
  <c r="E55" i="2"/>
  <c r="G55" i="2"/>
  <c r="H55" i="2" a="1"/>
  <c r="H55" i="2" s="1"/>
  <c r="I55" i="2"/>
  <c r="E56" i="2"/>
  <c r="G56" i="2"/>
  <c r="H56" i="2" a="1"/>
  <c r="H56" i="2" s="1"/>
  <c r="I56" i="2"/>
  <c r="E57" i="2"/>
  <c r="G57" i="2"/>
  <c r="H57" i="2" a="1"/>
  <c r="H57" i="2" s="1"/>
  <c r="I57" i="2"/>
  <c r="E58" i="2"/>
  <c r="G58" i="2"/>
  <c r="H58" i="2" a="1"/>
  <c r="H58" i="2" s="1"/>
  <c r="I58" i="2"/>
  <c r="E59" i="2"/>
  <c r="G59" i="2"/>
  <c r="H59" i="2" a="1"/>
  <c r="H59" i="2" s="1"/>
  <c r="I59" i="2"/>
  <c r="E60" i="2"/>
  <c r="G60" i="2"/>
  <c r="H60" i="2" a="1"/>
  <c r="H60" i="2" s="1"/>
  <c r="I60" i="2"/>
  <c r="E61" i="2"/>
  <c r="G61" i="2"/>
  <c r="H61" i="2" a="1"/>
  <c r="H61" i="2" s="1"/>
  <c r="I61" i="2"/>
  <c r="E62" i="2"/>
  <c r="G62" i="2"/>
  <c r="H62" i="2" a="1"/>
  <c r="H62" i="2" s="1"/>
  <c r="I62" i="2"/>
  <c r="E63" i="2"/>
  <c r="G63" i="2"/>
  <c r="H63" i="2" a="1"/>
  <c r="H63" i="2" s="1"/>
  <c r="I63" i="2"/>
  <c r="E64" i="2"/>
  <c r="G64" i="2"/>
  <c r="H64" i="2" a="1"/>
  <c r="H64" i="2" s="1"/>
  <c r="I64" i="2"/>
  <c r="E65" i="2"/>
  <c r="G65" i="2"/>
  <c r="H65" i="2" a="1"/>
  <c r="H65" i="2" s="1"/>
  <c r="I65" i="2"/>
  <c r="E66" i="2"/>
  <c r="G66" i="2"/>
  <c r="H66" i="2" a="1"/>
  <c r="H66" i="2" s="1"/>
  <c r="I66" i="2"/>
  <c r="E67" i="2"/>
  <c r="G67" i="2"/>
  <c r="H67" i="2" a="1"/>
  <c r="H67" i="2" s="1"/>
  <c r="I67" i="2"/>
  <c r="E68" i="2"/>
  <c r="G68" i="2"/>
  <c r="H68" i="2" a="1"/>
  <c r="H68" i="2" s="1"/>
  <c r="I68" i="2"/>
  <c r="E69" i="2"/>
  <c r="G69" i="2"/>
  <c r="H69" i="2" a="1"/>
  <c r="H69" i="2" s="1"/>
  <c r="I69" i="2"/>
  <c r="E70" i="2"/>
  <c r="G70" i="2"/>
  <c r="H70" i="2" a="1"/>
  <c r="H70" i="2" s="1"/>
  <c r="I70" i="2"/>
  <c r="E71" i="2"/>
  <c r="G71" i="2"/>
  <c r="H71" i="2" a="1"/>
  <c r="H71" i="2" s="1"/>
  <c r="I71" i="2"/>
  <c r="E72" i="2"/>
  <c r="G72" i="2"/>
  <c r="H72" i="2" a="1"/>
  <c r="H72" i="2" s="1"/>
  <c r="I72" i="2"/>
  <c r="E73" i="2"/>
  <c r="G73" i="2"/>
  <c r="H73" i="2" a="1"/>
  <c r="H73" i="2" s="1"/>
  <c r="I73" i="2"/>
  <c r="E74" i="2"/>
  <c r="G74" i="2"/>
  <c r="H74" i="2" a="1"/>
  <c r="H74" i="2" s="1"/>
  <c r="I74" i="2"/>
  <c r="E75" i="2"/>
  <c r="G75" i="2"/>
  <c r="H75" i="2" a="1"/>
  <c r="H75" i="2" s="1"/>
  <c r="I75" i="2"/>
  <c r="E76" i="2"/>
  <c r="G76" i="2"/>
  <c r="H76" i="2" a="1"/>
  <c r="H76" i="2" s="1"/>
  <c r="I76" i="2"/>
  <c r="E77" i="2"/>
  <c r="G77" i="2"/>
  <c r="H77" i="2" a="1"/>
  <c r="H77" i="2" s="1"/>
  <c r="I77" i="2"/>
  <c r="E78" i="2"/>
  <c r="G78" i="2"/>
  <c r="H78" i="2" a="1"/>
  <c r="H78" i="2" s="1"/>
  <c r="I78" i="2"/>
  <c r="E79" i="2"/>
  <c r="G79" i="2"/>
  <c r="H79" i="2" a="1"/>
  <c r="H79" i="2" s="1"/>
  <c r="I79" i="2"/>
  <c r="E80" i="2"/>
  <c r="G80" i="2"/>
  <c r="H80" i="2" a="1"/>
  <c r="H80" i="2" s="1"/>
  <c r="I80" i="2"/>
  <c r="E81" i="2"/>
  <c r="G81" i="2"/>
  <c r="H81" i="2" a="1"/>
  <c r="H81" i="2" s="1"/>
  <c r="I81" i="2"/>
  <c r="E82" i="2"/>
  <c r="G82" i="2"/>
  <c r="H82" i="2" a="1"/>
  <c r="H82" i="2" s="1"/>
  <c r="I82" i="2"/>
  <c r="E83" i="2"/>
  <c r="G83" i="2"/>
  <c r="H83" i="2" a="1"/>
  <c r="H83" i="2" s="1"/>
  <c r="I83" i="2"/>
  <c r="E84" i="2"/>
  <c r="G84" i="2"/>
  <c r="H84" i="2" a="1"/>
  <c r="H84" i="2" s="1"/>
  <c r="I84" i="2"/>
  <c r="E85" i="2"/>
  <c r="G85" i="2"/>
  <c r="H85" i="2" a="1"/>
  <c r="H85" i="2" s="1"/>
  <c r="I85" i="2"/>
  <c r="E86" i="2"/>
  <c r="G86" i="2"/>
  <c r="H86" i="2" a="1"/>
  <c r="H86" i="2" s="1"/>
  <c r="I86" i="2"/>
  <c r="E87" i="2"/>
  <c r="G87" i="2"/>
  <c r="H87" i="2" a="1"/>
  <c r="H87" i="2" s="1"/>
  <c r="I87" i="2"/>
  <c r="E88" i="2"/>
  <c r="G88" i="2"/>
  <c r="H88" i="2" a="1"/>
  <c r="H88" i="2" s="1"/>
  <c r="I88" i="2"/>
  <c r="E89" i="2"/>
  <c r="G89" i="2"/>
  <c r="H89" i="2" a="1"/>
  <c r="H89" i="2" s="1"/>
  <c r="I89" i="2"/>
  <c r="E90" i="2"/>
  <c r="G90" i="2"/>
  <c r="H90" i="2" a="1"/>
  <c r="H90" i="2" s="1"/>
  <c r="I90" i="2"/>
  <c r="E91" i="2"/>
  <c r="G91" i="2"/>
  <c r="H91" i="2" a="1"/>
  <c r="H91" i="2" s="1"/>
  <c r="I91" i="2"/>
  <c r="E92" i="2"/>
  <c r="G92" i="2"/>
  <c r="H92" i="2" a="1"/>
  <c r="H92" i="2" s="1"/>
  <c r="I92" i="2"/>
  <c r="E93" i="2"/>
  <c r="G93" i="2"/>
  <c r="H93" i="2" a="1"/>
  <c r="H93" i="2" s="1"/>
  <c r="I93" i="2"/>
  <c r="E94" i="2"/>
  <c r="G94" i="2"/>
  <c r="H94" i="2" a="1"/>
  <c r="H94" i="2" s="1"/>
  <c r="I94" i="2"/>
  <c r="E95" i="2"/>
  <c r="G95" i="2"/>
  <c r="H95" i="2" a="1"/>
  <c r="H95" i="2" s="1"/>
  <c r="I95" i="2"/>
  <c r="E96" i="2"/>
  <c r="G96" i="2"/>
  <c r="H96" i="2" a="1"/>
  <c r="H96" i="2" s="1"/>
  <c r="I96" i="2"/>
  <c r="E97" i="2"/>
  <c r="G97" i="2"/>
  <c r="H97" i="2" a="1"/>
  <c r="H97" i="2" s="1"/>
  <c r="I97" i="2"/>
  <c r="E98" i="2"/>
  <c r="G98" i="2"/>
  <c r="H98" i="2" a="1"/>
  <c r="H98" i="2" s="1"/>
  <c r="I98" i="2"/>
  <c r="E99" i="2"/>
  <c r="G99" i="2"/>
  <c r="H99" i="2" a="1"/>
  <c r="H99" i="2" s="1"/>
  <c r="I99" i="2"/>
  <c r="E100" i="2"/>
  <c r="G100" i="2"/>
  <c r="H100" i="2" a="1"/>
  <c r="H100" i="2" s="1"/>
  <c r="I100" i="2"/>
  <c r="E101" i="2"/>
  <c r="G101" i="2"/>
  <c r="H101" i="2" a="1"/>
  <c r="H101" i="2" s="1"/>
  <c r="I101" i="2"/>
  <c r="E102" i="2"/>
  <c r="G102" i="2"/>
  <c r="H102" i="2" a="1"/>
  <c r="H102" i="2" s="1"/>
  <c r="I102" i="2"/>
  <c r="E103" i="2"/>
  <c r="G103" i="2"/>
  <c r="H103" i="2" a="1"/>
  <c r="H103" i="2" s="1"/>
  <c r="I103" i="2"/>
  <c r="E104" i="2"/>
  <c r="G104" i="2"/>
  <c r="H104" i="2" a="1"/>
  <c r="H104" i="2" s="1"/>
  <c r="I104" i="2"/>
  <c r="E105" i="2"/>
  <c r="G105" i="2"/>
  <c r="H105" i="2" a="1"/>
  <c r="H105" i="2" s="1"/>
  <c r="I105" i="2"/>
  <c r="E106" i="2"/>
  <c r="G106" i="2"/>
  <c r="H106" i="2" a="1"/>
  <c r="H106" i="2" s="1"/>
  <c r="I106" i="2"/>
  <c r="E107" i="2"/>
  <c r="G107" i="2"/>
  <c r="H107" i="2" a="1"/>
  <c r="H107" i="2" s="1"/>
  <c r="I107" i="2"/>
  <c r="E108" i="2"/>
  <c r="G108" i="2"/>
  <c r="H108" i="2" a="1"/>
  <c r="H108" i="2" s="1"/>
  <c r="I108" i="2"/>
  <c r="E109" i="2"/>
  <c r="G109" i="2"/>
  <c r="H109" i="2" a="1"/>
  <c r="H109" i="2" s="1"/>
  <c r="I109" i="2"/>
  <c r="E110" i="2"/>
  <c r="G110" i="2"/>
  <c r="H110" i="2" a="1"/>
  <c r="H110" i="2" s="1"/>
  <c r="I110" i="2"/>
  <c r="E111" i="2"/>
  <c r="G111" i="2"/>
  <c r="H111" i="2" a="1"/>
  <c r="H111" i="2" s="1"/>
  <c r="I111" i="2"/>
  <c r="E112" i="2"/>
  <c r="G112" i="2"/>
  <c r="H112" i="2" a="1"/>
  <c r="H112" i="2" s="1"/>
  <c r="I112" i="2"/>
  <c r="E113" i="2"/>
  <c r="G113" i="2"/>
  <c r="H113" i="2" a="1"/>
  <c r="H113" i="2" s="1"/>
  <c r="I113" i="2"/>
  <c r="E114" i="2"/>
  <c r="G114" i="2"/>
  <c r="H114" i="2" a="1"/>
  <c r="H114" i="2" s="1"/>
  <c r="I114" i="2"/>
  <c r="E115" i="2"/>
  <c r="G115" i="2"/>
  <c r="H115" i="2" a="1"/>
  <c r="H115" i="2" s="1"/>
  <c r="I115" i="2"/>
  <c r="E116" i="2"/>
  <c r="G116" i="2"/>
  <c r="H116" i="2" a="1"/>
  <c r="H116" i="2" s="1"/>
  <c r="I116" i="2"/>
  <c r="E117" i="2"/>
  <c r="G117" i="2"/>
  <c r="H117" i="2" a="1"/>
  <c r="H117" i="2" s="1"/>
  <c r="I117" i="2"/>
  <c r="E118" i="2"/>
  <c r="G118" i="2"/>
  <c r="H118" i="2" a="1"/>
  <c r="H118" i="2" s="1"/>
  <c r="I118" i="2"/>
  <c r="E119" i="2"/>
  <c r="G119" i="2"/>
  <c r="H119" i="2" a="1"/>
  <c r="H119" i="2" s="1"/>
  <c r="I119" i="2"/>
  <c r="E120" i="2"/>
  <c r="G120" i="2"/>
  <c r="H120" i="2" a="1"/>
  <c r="H120" i="2" s="1"/>
  <c r="I120" i="2"/>
  <c r="E121" i="2"/>
  <c r="G121" i="2"/>
  <c r="H121" i="2" a="1"/>
  <c r="H121" i="2" s="1"/>
  <c r="I121" i="2"/>
  <c r="E122" i="2"/>
  <c r="G122" i="2"/>
  <c r="H122" i="2" a="1"/>
  <c r="H122" i="2" s="1"/>
  <c r="I122" i="2"/>
  <c r="E123" i="2"/>
  <c r="G123" i="2"/>
  <c r="H123" i="2" a="1"/>
  <c r="H123" i="2" s="1"/>
  <c r="I123" i="2"/>
  <c r="E124" i="2"/>
  <c r="G124" i="2"/>
  <c r="H124" i="2" a="1"/>
  <c r="H124" i="2" s="1"/>
  <c r="I124" i="2"/>
  <c r="E125" i="2"/>
  <c r="G125" i="2"/>
  <c r="H125" i="2" a="1"/>
  <c r="H125" i="2" s="1"/>
  <c r="I125" i="2"/>
  <c r="E126" i="2"/>
  <c r="G126" i="2"/>
  <c r="H126" i="2" a="1"/>
  <c r="H126" i="2" s="1"/>
  <c r="I126" i="2"/>
  <c r="E127" i="2"/>
  <c r="G127" i="2"/>
  <c r="H127" i="2" a="1"/>
  <c r="H127" i="2" s="1"/>
  <c r="I127" i="2"/>
  <c r="E128" i="2"/>
  <c r="G128" i="2"/>
  <c r="H128" i="2" a="1"/>
  <c r="H128" i="2" s="1"/>
  <c r="I128" i="2"/>
  <c r="E129" i="2"/>
  <c r="G129" i="2"/>
  <c r="H129" i="2" a="1"/>
  <c r="H129" i="2" s="1"/>
  <c r="I129" i="2"/>
  <c r="E130" i="2"/>
  <c r="G130" i="2"/>
  <c r="H130" i="2" a="1"/>
  <c r="H130" i="2" s="1"/>
  <c r="I130" i="2"/>
  <c r="E131" i="2"/>
  <c r="G131" i="2"/>
  <c r="H131" i="2" a="1"/>
  <c r="H131" i="2" s="1"/>
  <c r="I131" i="2"/>
  <c r="E132" i="2"/>
  <c r="G132" i="2"/>
  <c r="H132" i="2" a="1"/>
  <c r="H132" i="2" s="1"/>
  <c r="I132" i="2"/>
  <c r="E133" i="2"/>
  <c r="G133" i="2"/>
  <c r="H133" i="2" a="1"/>
  <c r="H133" i="2" s="1"/>
  <c r="I133" i="2"/>
  <c r="E134" i="2"/>
  <c r="G134" i="2"/>
  <c r="H134" i="2" a="1"/>
  <c r="H134" i="2" s="1"/>
  <c r="I134" i="2"/>
  <c r="E135" i="2"/>
  <c r="G135" i="2"/>
  <c r="H135" i="2" a="1"/>
  <c r="H135" i="2" s="1"/>
  <c r="I135" i="2"/>
  <c r="E136" i="2"/>
  <c r="G136" i="2"/>
  <c r="H136" i="2" a="1"/>
  <c r="H136" i="2" s="1"/>
  <c r="I136" i="2"/>
  <c r="E137" i="2"/>
  <c r="G137" i="2"/>
  <c r="H137" i="2" a="1"/>
  <c r="H137" i="2" s="1"/>
  <c r="I137" i="2"/>
  <c r="E138" i="2"/>
  <c r="G138" i="2"/>
  <c r="H138" i="2" a="1"/>
  <c r="H138" i="2" s="1"/>
  <c r="I138" i="2"/>
  <c r="E139" i="2"/>
  <c r="G139" i="2"/>
  <c r="H139" i="2" a="1"/>
  <c r="H139" i="2" s="1"/>
  <c r="I139" i="2"/>
  <c r="E140" i="2"/>
  <c r="G140" i="2"/>
  <c r="H140" i="2" a="1"/>
  <c r="H140" i="2" s="1"/>
  <c r="I140" i="2"/>
  <c r="E141" i="2"/>
  <c r="G141" i="2"/>
  <c r="H141" i="2" a="1"/>
  <c r="H141" i="2" s="1"/>
  <c r="I141" i="2"/>
  <c r="E142" i="2"/>
  <c r="G142" i="2"/>
  <c r="H142" i="2" a="1"/>
  <c r="H142" i="2" s="1"/>
  <c r="I142" i="2"/>
  <c r="G143" i="2"/>
  <c r="H143" i="2" a="1"/>
  <c r="H143" i="2" s="1"/>
  <c r="I143" i="2"/>
  <c r="E144" i="2"/>
  <c r="G144" i="2"/>
  <c r="H144" i="2" a="1"/>
  <c r="H144" i="2" s="1"/>
  <c r="I144" i="2"/>
  <c r="E145" i="2"/>
  <c r="G145" i="2"/>
  <c r="H145" i="2" a="1"/>
  <c r="H145" i="2" s="1"/>
  <c r="I145" i="2"/>
  <c r="E146" i="2"/>
  <c r="G146" i="2"/>
  <c r="H146" i="2" a="1"/>
  <c r="H146" i="2" s="1"/>
  <c r="I146" i="2"/>
  <c r="E147" i="2"/>
  <c r="G147" i="2"/>
  <c r="H147" i="2" a="1"/>
  <c r="H147" i="2" s="1"/>
  <c r="I147" i="2"/>
  <c r="E148" i="2"/>
  <c r="G148" i="2"/>
  <c r="H148" i="2" a="1"/>
  <c r="H148" i="2" s="1"/>
  <c r="I148" i="2"/>
  <c r="E149" i="2"/>
  <c r="G149" i="2"/>
  <c r="H149" i="2" a="1"/>
  <c r="H149" i="2" s="1"/>
  <c r="I149" i="2"/>
  <c r="E150" i="2"/>
  <c r="G150" i="2"/>
  <c r="H150" i="2" a="1"/>
  <c r="H150" i="2" s="1"/>
  <c r="I150" i="2"/>
  <c r="H151" i="2" a="1"/>
  <c r="H151" i="2" s="1"/>
  <c r="G151" i="2"/>
  <c r="I151" i="2"/>
  <c r="E152" i="2"/>
  <c r="G152" i="2"/>
  <c r="H152" i="2" a="1"/>
  <c r="H152" i="2" s="1"/>
  <c r="I152" i="2"/>
  <c r="E153" i="2"/>
  <c r="G153" i="2"/>
  <c r="H153" i="2" a="1"/>
  <c r="H153" i="2" s="1"/>
  <c r="I153" i="2"/>
  <c r="G154" i="2"/>
  <c r="I154" i="2"/>
  <c r="E155" i="2"/>
  <c r="G155" i="2"/>
  <c r="H155" i="2" a="1"/>
  <c r="H155" i="2" s="1"/>
  <c r="I155" i="2"/>
  <c r="E156" i="2"/>
  <c r="G156" i="2"/>
  <c r="H156" i="2" a="1"/>
  <c r="H156" i="2" s="1"/>
  <c r="I156" i="2"/>
  <c r="E157" i="2"/>
  <c r="G157" i="2"/>
  <c r="H157" i="2" a="1"/>
  <c r="H157" i="2" s="1"/>
  <c r="I157" i="2"/>
  <c r="E158" i="2"/>
  <c r="G158" i="2"/>
  <c r="H158" i="2" a="1"/>
  <c r="H158" i="2" s="1"/>
  <c r="I158" i="2"/>
  <c r="E159" i="2"/>
  <c r="G159" i="2"/>
  <c r="H159" i="2" a="1"/>
  <c r="H159" i="2" s="1"/>
  <c r="I159" i="2"/>
  <c r="E160" i="2"/>
  <c r="G160" i="2"/>
  <c r="H160" i="2" a="1"/>
  <c r="H160" i="2" s="1"/>
  <c r="I160" i="2"/>
  <c r="E161" i="2"/>
  <c r="G161" i="2"/>
  <c r="H161" i="2" a="1"/>
  <c r="H161" i="2" s="1"/>
  <c r="I161" i="2"/>
  <c r="E162" i="2"/>
  <c r="G162" i="2"/>
  <c r="H162" i="2" a="1"/>
  <c r="H162" i="2" s="1"/>
  <c r="I162" i="2"/>
  <c r="E163" i="2"/>
  <c r="G163" i="2"/>
  <c r="H163" i="2" a="1"/>
  <c r="H163" i="2" s="1"/>
  <c r="I163" i="2"/>
  <c r="E164" i="2"/>
  <c r="G164" i="2"/>
  <c r="H164" i="2" a="1"/>
  <c r="H164" i="2" s="1"/>
  <c r="I164" i="2"/>
  <c r="E165" i="2"/>
  <c r="G165" i="2"/>
  <c r="H165" i="2" a="1"/>
  <c r="H165" i="2" s="1"/>
  <c r="I165" i="2"/>
  <c r="E166" i="2"/>
  <c r="G166" i="2"/>
  <c r="H166" i="2" a="1"/>
  <c r="H166" i="2" s="1"/>
  <c r="I166" i="2"/>
  <c r="E167" i="2"/>
  <c r="G167" i="2"/>
  <c r="H167" i="2" a="1"/>
  <c r="H167" i="2" s="1"/>
  <c r="I167" i="2"/>
  <c r="E168" i="2"/>
  <c r="G168" i="2"/>
  <c r="H168" i="2" a="1"/>
  <c r="H168" i="2" s="1"/>
  <c r="I168" i="2"/>
  <c r="E169" i="2"/>
  <c r="G169" i="2"/>
  <c r="H169" i="2" a="1"/>
  <c r="H169" i="2" s="1"/>
  <c r="I169" i="2"/>
  <c r="E170" i="2"/>
  <c r="G170" i="2"/>
  <c r="H170" i="2" a="1"/>
  <c r="H170" i="2" s="1"/>
  <c r="I170" i="2"/>
  <c r="E171" i="2"/>
  <c r="G171" i="2"/>
  <c r="H171" i="2" a="1"/>
  <c r="H171" i="2" s="1"/>
  <c r="I171" i="2"/>
  <c r="E172" i="2"/>
  <c r="G172" i="2"/>
  <c r="H172" i="2" a="1"/>
  <c r="H172" i="2" s="1"/>
  <c r="I172" i="2"/>
  <c r="E173" i="2"/>
  <c r="G173" i="2"/>
  <c r="H173" i="2" a="1"/>
  <c r="H173" i="2" s="1"/>
  <c r="I173" i="2"/>
  <c r="E174" i="2"/>
  <c r="G174" i="2"/>
  <c r="H174" i="2" a="1"/>
  <c r="H174" i="2" s="1"/>
  <c r="I174" i="2"/>
  <c r="E175" i="2"/>
  <c r="G175" i="2"/>
  <c r="H175" i="2" a="1"/>
  <c r="H175" i="2" s="1"/>
  <c r="I175" i="2"/>
  <c r="E176" i="2"/>
  <c r="G176" i="2"/>
  <c r="H176" i="2" a="1"/>
  <c r="H176" i="2" s="1"/>
  <c r="I176" i="2"/>
  <c r="E177" i="2"/>
  <c r="G177" i="2"/>
  <c r="H177" i="2" a="1"/>
  <c r="H177" i="2" s="1"/>
  <c r="I177" i="2"/>
  <c r="E178" i="2"/>
  <c r="G178" i="2"/>
  <c r="H178" i="2" a="1"/>
  <c r="H178" i="2" s="1"/>
  <c r="I178" i="2"/>
  <c r="E179" i="2"/>
  <c r="G179" i="2"/>
  <c r="H179" i="2" a="1"/>
  <c r="H179" i="2" s="1"/>
  <c r="I179" i="2"/>
  <c r="F180" i="2"/>
  <c r="E180" i="2" s="1"/>
  <c r="G180" i="2"/>
  <c r="I180" i="2"/>
  <c r="E181" i="2"/>
  <c r="G181" i="2"/>
  <c r="H181" i="2" a="1"/>
  <c r="H181" i="2" s="1"/>
  <c r="I181" i="2"/>
  <c r="F182" i="2"/>
  <c r="E182" i="2" s="1"/>
  <c r="G182" i="2"/>
  <c r="I182" i="2"/>
  <c r="E183" i="2"/>
  <c r="G183" i="2"/>
  <c r="H183" i="2" a="1"/>
  <c r="H183" i="2" s="1"/>
  <c r="I183" i="2"/>
  <c r="E184" i="2"/>
  <c r="G184" i="2"/>
  <c r="H184" i="2" a="1"/>
  <c r="H184" i="2" s="1"/>
  <c r="I184" i="2"/>
  <c r="E185" i="2"/>
  <c r="G185" i="2"/>
  <c r="H185" i="2" a="1"/>
  <c r="H185" i="2" s="1"/>
  <c r="I185" i="2"/>
  <c r="E186" i="2"/>
  <c r="G186" i="2"/>
  <c r="H186" i="2" a="1"/>
  <c r="H186" i="2" s="1"/>
  <c r="I186" i="2"/>
  <c r="E187" i="2"/>
  <c r="G187" i="2"/>
  <c r="H187" i="2" a="1"/>
  <c r="H187" i="2" s="1"/>
  <c r="I187" i="2"/>
  <c r="E188" i="2"/>
  <c r="G188" i="2"/>
  <c r="H188" i="2" a="1"/>
  <c r="H188" i="2" s="1"/>
  <c r="I188" i="2"/>
  <c r="E189" i="2"/>
  <c r="G189" i="2"/>
  <c r="H189" i="2" a="1"/>
  <c r="H189" i="2" s="1"/>
  <c r="I189" i="2"/>
  <c r="E190" i="2"/>
  <c r="G190" i="2"/>
  <c r="H190" i="2" a="1"/>
  <c r="H190" i="2" s="1"/>
  <c r="I190" i="2"/>
  <c r="E191" i="2"/>
  <c r="G191" i="2"/>
  <c r="H191" i="2" a="1"/>
  <c r="H191" i="2" s="1"/>
  <c r="I191" i="2"/>
  <c r="E192" i="2"/>
  <c r="G192" i="2"/>
  <c r="H192" i="2" a="1"/>
  <c r="H192" i="2" s="1"/>
  <c r="I192" i="2"/>
  <c r="E193" i="2"/>
  <c r="G193" i="2"/>
  <c r="H193" i="2" a="1"/>
  <c r="H193" i="2" s="1"/>
  <c r="I193" i="2"/>
  <c r="E194" i="2"/>
  <c r="G194" i="2"/>
  <c r="H194" i="2" a="1"/>
  <c r="H194" i="2" s="1"/>
  <c r="I194" i="2"/>
  <c r="E195" i="2"/>
  <c r="G195" i="2"/>
  <c r="H195" i="2" a="1"/>
  <c r="H195" i="2" s="1"/>
  <c r="I195" i="2"/>
  <c r="I196" i="2"/>
  <c r="E199" i="2"/>
  <c r="G199" i="2"/>
  <c r="H199" i="2" a="1"/>
  <c r="H199" i="2" s="1"/>
  <c r="E200" i="2"/>
  <c r="G200" i="2"/>
  <c r="E201" i="2"/>
  <c r="G201" i="2"/>
  <c r="H201" i="2" a="1"/>
  <c r="H201" i="2" s="1"/>
  <c r="F202" i="2"/>
  <c r="E202" i="2" s="1"/>
  <c r="G202" i="2"/>
  <c r="H182" i="2" l="1" a="1"/>
  <c r="H182" i="2" s="1"/>
  <c r="H202" i="2" a="1"/>
  <c r="H202" i="2" s="1"/>
  <c r="E151" i="2"/>
  <c r="E15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<sst xmlns="http://schemas.openxmlformats.org/spreadsheetml/2006/main" count="561" uniqueCount="214">
  <si>
    <t>BILLOW</t>
  </si>
  <si>
    <t>COMERCIALIZADORA SERRA</t>
  </si>
  <si>
    <t>VICTORY</t>
  </si>
  <si>
    <t>HOLLAND VELVET</t>
  </si>
  <si>
    <t>MONUMENT</t>
  </si>
  <si>
    <t>CONTINUA</t>
  </si>
  <si>
    <t>TODAS LAS LINEAS ARRIBA DE 25 M ES PRECIO ROLLO</t>
  </si>
  <si>
    <t>TUMOINE</t>
  </si>
  <si>
    <t>SE ELIMINA</t>
  </si>
  <si>
    <t>BELUCCI, ENORA Y SOLID PRECIO ROLLO</t>
  </si>
  <si>
    <t>MARPE</t>
  </si>
  <si>
    <t>CORTE Y ROLLO EN F5</t>
  </si>
  <si>
    <t>KABAH</t>
  </si>
  <si>
    <t>ZENA</t>
  </si>
  <si>
    <t>VELLYKET</t>
  </si>
  <si>
    <t>SOLO WISH PEARL F2-F3</t>
  </si>
  <si>
    <t>WISH</t>
  </si>
  <si>
    <t>GALTAC</t>
  </si>
  <si>
    <t>BELUCCI</t>
  </si>
  <si>
    <t>ARA EXPORT</t>
  </si>
  <si>
    <t>ENORA</t>
  </si>
  <si>
    <t>HELSINKI</t>
  </si>
  <si>
    <t>CAMAS Y MUEBLES</t>
  </si>
  <si>
    <t>DOLCE</t>
  </si>
  <si>
    <t>HAUS</t>
  </si>
  <si>
    <t>FLY</t>
  </si>
  <si>
    <t>PRESTO</t>
  </si>
  <si>
    <t>DELUXE</t>
  </si>
  <si>
    <t>UMMA</t>
  </si>
  <si>
    <t>CASSIS</t>
  </si>
  <si>
    <t>Tubulares plata</t>
  </si>
  <si>
    <t>Italian Velvet</t>
  </si>
  <si>
    <t>Juana Lizbeth Salinas</t>
  </si>
  <si>
    <t>Vivacity</t>
  </si>
  <si>
    <t>Fancy</t>
  </si>
  <si>
    <t>Zenith</t>
  </si>
  <si>
    <t>SOLID</t>
  </si>
  <si>
    <t>OXFORD</t>
  </si>
  <si>
    <t>American Source</t>
  </si>
  <si>
    <t>ITALIAN VELVET</t>
  </si>
  <si>
    <t>PHG Plata</t>
  </si>
  <si>
    <t>Monica Araceli Bernal Arzate</t>
  </si>
  <si>
    <t>FIORA</t>
  </si>
  <si>
    <t>COSMO</t>
  </si>
  <si>
    <t>VIVACITY</t>
  </si>
  <si>
    <t>Salas Dimap</t>
  </si>
  <si>
    <t>Sofa Mex</t>
  </si>
  <si>
    <t>Victory</t>
  </si>
  <si>
    <t>Waikiki</t>
  </si>
  <si>
    <t>Skanor</t>
  </si>
  <si>
    <t>Presto</t>
  </si>
  <si>
    <t>Elite</t>
  </si>
  <si>
    <t>Drill</t>
  </si>
  <si>
    <t>Collete</t>
  </si>
  <si>
    <t>Muebles Kasia</t>
  </si>
  <si>
    <t>Kiba</t>
  </si>
  <si>
    <t>Holland Velvet</t>
  </si>
  <si>
    <t>Bloom</t>
  </si>
  <si>
    <t>Zena</t>
  </si>
  <si>
    <t>El Tío</t>
  </si>
  <si>
    <t>Moana</t>
  </si>
  <si>
    <t>Boa</t>
  </si>
  <si>
    <t>RIO</t>
  </si>
  <si>
    <t>Varley</t>
  </si>
  <si>
    <t>Pixel</t>
  </si>
  <si>
    <t>Malibu</t>
  </si>
  <si>
    <t>Hank</t>
  </si>
  <si>
    <t>Forever Plus</t>
  </si>
  <si>
    <t>DIMENSION EN TAPIZADO</t>
  </si>
  <si>
    <t>Confort y Diseño</t>
  </si>
  <si>
    <t>Harmony</t>
  </si>
  <si>
    <t>Chrono</t>
  </si>
  <si>
    <t>Belucci</t>
  </si>
  <si>
    <t>Antonio Lugo</t>
  </si>
  <si>
    <t>Manuel Carmona 1</t>
  </si>
  <si>
    <t>CHRONO</t>
  </si>
  <si>
    <t>BALI</t>
  </si>
  <si>
    <t>FRESNO</t>
  </si>
  <si>
    <t>OLD RAVEN FURNITURE COMPANY</t>
  </si>
  <si>
    <t>POINT</t>
  </si>
  <si>
    <t>JOVAN</t>
  </si>
  <si>
    <t>COPENHAGEN</t>
  </si>
  <si>
    <t>REFLECT</t>
  </si>
  <si>
    <t>DOMINGO HERNANDEZ</t>
  </si>
  <si>
    <t>GELLAR</t>
  </si>
  <si>
    <t>DAZZLE</t>
  </si>
  <si>
    <t>GIMUEBLES</t>
  </si>
  <si>
    <t>AMICO</t>
  </si>
  <si>
    <t>Acor Industrial</t>
  </si>
  <si>
    <t>QUINCY</t>
  </si>
  <si>
    <t>KIBA</t>
  </si>
  <si>
    <t>HARMONY</t>
  </si>
  <si>
    <t>FANCY</t>
  </si>
  <si>
    <t>DRILL</t>
  </si>
  <si>
    <t>BLOOM</t>
  </si>
  <si>
    <t>CESAR ROBLES</t>
  </si>
  <si>
    <t>RIBATELAS</t>
  </si>
  <si>
    <t>Rio</t>
  </si>
  <si>
    <t>WFI</t>
  </si>
  <si>
    <t>Taosa</t>
  </si>
  <si>
    <t>Moises Ramirez Bonnet</t>
  </si>
  <si>
    <t>Bikendi</t>
  </si>
  <si>
    <t>Monique</t>
  </si>
  <si>
    <t>Lorena Isabel Corral</t>
  </si>
  <si>
    <t>Rusty</t>
  </si>
  <si>
    <t>Pebble</t>
  </si>
  <si>
    <t>Opulence</t>
  </si>
  <si>
    <t>Legacy</t>
  </si>
  <si>
    <t>Granola</t>
  </si>
  <si>
    <t>Glow</t>
  </si>
  <si>
    <t>Fresh</t>
  </si>
  <si>
    <t>Fiora</t>
  </si>
  <si>
    <t>Fashion</t>
  </si>
  <si>
    <t>DYNAMIC</t>
  </si>
  <si>
    <t>Duval</t>
  </si>
  <si>
    <t>Curly</t>
  </si>
  <si>
    <t>BOON</t>
  </si>
  <si>
    <t>Blend</t>
  </si>
  <si>
    <t>Enora</t>
  </si>
  <si>
    <t>Solid</t>
  </si>
  <si>
    <t>Valentina</t>
  </si>
  <si>
    <t>Genesis</t>
  </si>
  <si>
    <t>Cosmo</t>
  </si>
  <si>
    <t>Rhona</t>
  </si>
  <si>
    <t>Del Toro</t>
  </si>
  <si>
    <t>Hady</t>
  </si>
  <si>
    <t>BOAL</t>
  </si>
  <si>
    <t>EXPORTACION</t>
  </si>
  <si>
    <t>B&amp;san</t>
  </si>
  <si>
    <t>Wembley</t>
  </si>
  <si>
    <t>VADA</t>
  </si>
  <si>
    <t>TOBY</t>
  </si>
  <si>
    <t>TITUS</t>
  </si>
  <si>
    <t>TESSA</t>
  </si>
  <si>
    <t>SPROUT</t>
  </si>
  <si>
    <t>SPIRE</t>
  </si>
  <si>
    <t>SPHINX</t>
  </si>
  <si>
    <t>Skylar</t>
  </si>
  <si>
    <t>Shiver</t>
  </si>
  <si>
    <t>POPSTAR</t>
  </si>
  <si>
    <t>Orion</t>
  </si>
  <si>
    <t>DA 114.90 ENTRE .65 CON DÓLAR 18.50</t>
  </si>
  <si>
    <t>OPULENCE</t>
  </si>
  <si>
    <t>OOLONG</t>
  </si>
  <si>
    <t>ROLLO fawn</t>
  </si>
  <si>
    <t>ODYSSEY</t>
  </si>
  <si>
    <t>CORTE fawn</t>
  </si>
  <si>
    <t>NIMBUS</t>
  </si>
  <si>
    <t>MISHA</t>
  </si>
  <si>
    <t>Highlight</t>
  </si>
  <si>
    <t>GLOW</t>
  </si>
  <si>
    <t>ELITE</t>
  </si>
  <si>
    <t>Dash</t>
  </si>
  <si>
    <t>CORSICA</t>
  </si>
  <si>
    <t>CIGAR</t>
  </si>
  <si>
    <t>EXPORTACION CHECK DOMINO</t>
  </si>
  <si>
    <t>CHECK</t>
  </si>
  <si>
    <t>AVALANCHE</t>
  </si>
  <si>
    <t>AMAZON</t>
  </si>
  <si>
    <t>ALPS</t>
  </si>
  <si>
    <t>PRECIO A PARTIR DE 10 MTS</t>
  </si>
  <si>
    <t>ALISTAIR</t>
  </si>
  <si>
    <t>ALBANI</t>
  </si>
  <si>
    <t>SPRITE</t>
  </si>
  <si>
    <t>Almacenes Camarena</t>
  </si>
  <si>
    <t>MONET</t>
  </si>
  <si>
    <t>Icon</t>
  </si>
  <si>
    <t>7 Days Muebles</t>
  </si>
  <si>
    <t>LINEA</t>
  </si>
  <si>
    <t>LISTA DE PRECIOS EN LA QUE ENTRA</t>
  </si>
  <si>
    <t>AUMENTO GENERAL EN LA TELA</t>
  </si>
  <si>
    <t>PRECIO ESPECIAL NUEVO</t>
  </si>
  <si>
    <t>AUMENTO ESPECIAL</t>
  </si>
  <si>
    <t>PRECIO ESPECIAL ANTERIOR</t>
  </si>
  <si>
    <t>PRECIO F5</t>
  </si>
  <si>
    <t>TELA</t>
  </si>
  <si>
    <t>CLIENTE</t>
  </si>
  <si>
    <t>JUNIO - 26</t>
  </si>
  <si>
    <t>PLACENCIA</t>
  </si>
  <si>
    <t>FORMATEX</t>
  </si>
  <si>
    <t>SCAR</t>
  </si>
  <si>
    <t>LORAX</t>
  </si>
  <si>
    <t>DISTRACTION</t>
  </si>
  <si>
    <t>PROHIBITION</t>
  </si>
  <si>
    <t>VALENTINA</t>
  </si>
  <si>
    <t>DREAMY</t>
  </si>
  <si>
    <t>MARIO VAZQUEZ</t>
  </si>
  <si>
    <t>ICON</t>
  </si>
  <si>
    <t>A CLIENTES DE PLASCENCIA NO SE AUMENTAN</t>
  </si>
  <si>
    <t>RUSTY</t>
  </si>
  <si>
    <t>CONNOR</t>
  </si>
  <si>
    <t>IN AND OUT</t>
  </si>
  <si>
    <t>NATASHA</t>
  </si>
  <si>
    <t>RUBY</t>
  </si>
  <si>
    <t>LOMBARD</t>
  </si>
  <si>
    <t xml:space="preserve">PRECIO ANTERIOR </t>
  </si>
  <si>
    <t>EMPRESA</t>
  </si>
  <si>
    <t>LISTA DE PRECIOS PARA MARIO VAZQUEZ CON SUS PRECIOS</t>
  </si>
  <si>
    <t>COLLETE</t>
  </si>
  <si>
    <t>OUTRIGGER</t>
  </si>
  <si>
    <t>TURINO</t>
  </si>
  <si>
    <t>MALIBU</t>
  </si>
  <si>
    <t>WAIKIKI</t>
  </si>
  <si>
    <t>CURLY</t>
  </si>
  <si>
    <t>BELGIAN</t>
  </si>
  <si>
    <t>SOLID </t>
  </si>
  <si>
    <t>FOREVER PLUS</t>
  </si>
  <si>
    <t>TEXTILE HOUSE</t>
  </si>
  <si>
    <t>- 20% DE F5</t>
  </si>
  <si>
    <t>- 15% DE F5</t>
  </si>
  <si>
    <t>- 25% DE F5</t>
  </si>
  <si>
    <t>- 35% DE F5</t>
  </si>
  <si>
    <t>TNT</t>
  </si>
  <si>
    <t>-20% DE 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</si>
</sst>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&quot;$&quot;#,##0.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indent="1"/>
    </xf>
    <xf numFmtId="0" fontId="0" fillId="0" borderId="1" xfId="0" applyBorder="1" applyAlignment="1">
      <alignment horizontal="center"/>
    </xf>
    <xf numFmtId="9" fontId="0" fillId="0" borderId="1" xfId="2" applyFont="1" applyFill="1" applyBorder="1" applyAlignment="1">
      <alignment horizontal="center"/>
    </xf>
    <xf numFmtId="44" fontId="0" fillId="2" borderId="1" xfId="1" applyFont="1" applyFill="1" applyBorder="1"/>
    <xf numFmtId="10" fontId="0" fillId="2" borderId="1" xfId="2" applyNumberFormat="1" applyFont="1" applyFill="1" applyBorder="1" applyAlignment="1">
      <alignment horizontal="center"/>
    </xf>
    <xf numFmtId="44" fontId="0" fillId="0" borderId="1" xfId="1" applyFont="1" applyFill="1" applyBorder="1" applyAlignment="1">
      <alignment horizontal="center"/>
    </xf>
    <xf numFmtId="44" fontId="0" fillId="0" borderId="1" xfId="1" applyFont="1" applyFill="1" applyBorder="1"/>
    <xf numFmtId="0" fontId="0" fillId="0" borderId="1" xfId="0" applyBorder="1" applyAlignment="1">
      <alignment horizontal="left" indent="1"/>
    </xf>
    <xf numFmtId="44" fontId="0" fillId="3" borderId="1" xfId="1" applyFont="1" applyFill="1" applyBorder="1"/>
    <xf numFmtId="10" fontId="0" fillId="3" borderId="1" xfId="2" applyNumberFormat="1" applyFont="1" applyFill="1" applyBorder="1" applyAlignment="1">
      <alignment horizontal="center"/>
    </xf>
    <xf numFmtId="0" fontId="0" fillId="4" borderId="0" xfId="0" applyFill="1" applyAlignment="1">
      <alignment horizontal="left" indent="1"/>
    </xf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0" fillId="4" borderId="2" xfId="0" applyFill="1" applyBorder="1" applyAlignment="1">
      <alignment horizontal="left" indent="1"/>
    </xf>
    <xf numFmtId="0" fontId="0" fillId="5" borderId="1" xfId="0" applyFill="1" applyBorder="1" applyAlignment="1">
      <alignment horizontal="left" indent="1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left" indent="1"/>
    </xf>
    <xf numFmtId="44" fontId="0" fillId="3" borderId="2" xfId="1" applyFont="1" applyFill="1" applyBorder="1"/>
    <xf numFmtId="10" fontId="0" fillId="3" borderId="2" xfId="2" applyNumberFormat="1" applyFont="1" applyFill="1" applyBorder="1" applyAlignment="1">
      <alignment horizontal="center"/>
    </xf>
    <xf numFmtId="44" fontId="0" fillId="0" borderId="2" xfId="1" applyFont="1" applyFill="1" applyBorder="1" applyAlignment="1">
      <alignment horizontal="center"/>
    </xf>
    <xf numFmtId="44" fontId="0" fillId="0" borderId="2" xfId="1" applyFont="1" applyFill="1" applyBorder="1"/>
    <xf numFmtId="0" fontId="0" fillId="0" borderId="2" xfId="0" applyBorder="1" applyAlignment="1">
      <alignment horizontal="left" indent="1"/>
    </xf>
    <xf numFmtId="44" fontId="0" fillId="6" borderId="1" xfId="1" applyFont="1" applyFill="1" applyBorder="1"/>
    <xf numFmtId="10" fontId="0" fillId="6" borderId="1" xfId="2" applyNumberFormat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2" fillId="8" borderId="0" xfId="0" applyFont="1" applyFill="1" applyAlignment="1">
      <alignment horizontal="center" vertical="center" wrapText="1"/>
    </xf>
    <xf numFmtId="9" fontId="2" fillId="8" borderId="0" xfId="2" applyFont="1" applyFill="1" applyAlignment="1">
      <alignment horizontal="center" vertical="center" wrapText="1"/>
    </xf>
    <xf numFmtId="164" fontId="2" fillId="8" borderId="0" xfId="0" applyNumberFormat="1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left" vertical="center" indent="1"/>
    </xf>
    <xf numFmtId="49" fontId="0" fillId="0" borderId="0" xfId="0" applyNumberFormat="1" applyAlignment="1">
      <alignment horizontal="center"/>
    </xf>
    <xf numFmtId="10" fontId="0" fillId="0" borderId="0" xfId="2" applyNumberFormat="1" applyFont="1" applyAlignment="1">
      <alignment horizontal="center"/>
    </xf>
    <xf numFmtId="10" fontId="2" fillId="8" borderId="0" xfId="2" applyNumberFormat="1" applyFont="1" applyFill="1" applyAlignment="1">
      <alignment horizontal="center" vertical="center" wrapText="1"/>
    </xf>
    <xf numFmtId="10" fontId="0" fillId="4" borderId="2" xfId="2" applyNumberFormat="1" applyFont="1" applyFill="1" applyBorder="1" applyAlignment="1">
      <alignment horizontal="center"/>
    </xf>
    <xf numFmtId="10" fontId="0" fillId="4" borderId="1" xfId="2" applyNumberFormat="1" applyFont="1" applyFill="1" applyBorder="1" applyAlignment="1">
      <alignment horizontal="center"/>
    </xf>
    <xf numFmtId="10" fontId="0" fillId="9" borderId="1" xfId="2" applyNumberFormat="1" applyFont="1" applyFill="1" applyBorder="1" applyAlignment="1">
      <alignment horizontal="center"/>
    </xf>
    <xf numFmtId="44" fontId="0" fillId="9" borderId="1" xfId="1" applyFont="1" applyFill="1" applyBorder="1"/>
    <xf numFmtId="44" fontId="0" fillId="10" borderId="1" xfId="1" applyFont="1" applyFill="1" applyBorder="1"/>
    <xf numFmtId="9" fontId="0" fillId="10" borderId="1" xfId="2" applyFont="1" applyFill="1" applyBorder="1" applyAlignment="1">
      <alignment horizontal="center"/>
    </xf>
    <xf numFmtId="9" fontId="0" fillId="0" borderId="0" xfId="2" applyFont="1" applyAlignment="1">
      <alignment horizontal="left" indent="1"/>
    </xf>
    <xf numFmtId="9" fontId="0" fillId="0" borderId="0" xfId="2" applyFont="1" applyAlignment="1">
      <alignment horizontal="center"/>
    </xf>
    <xf numFmtId="0" fontId="0" fillId="0" borderId="3" xfId="0" applyBorder="1"/>
    <xf numFmtId="9" fontId="0" fillId="0" borderId="0" xfId="2" applyFont="1" applyFill="1" applyAlignment="1">
      <alignment horizontal="left" indent="1"/>
    </xf>
    <xf numFmtId="44" fontId="0" fillId="0" borderId="0" xfId="1" applyFont="1"/>
    <xf numFmtId="0" fontId="0" fillId="0" borderId="0" xfId="0" applyAlignment="1">
      <alignment vertical="center"/>
    </xf>
    <xf numFmtId="9" fontId="0" fillId="0" borderId="0" xfId="2" applyFont="1" applyAlignment="1">
      <alignment horizontal="left" vertical="center" indent="1"/>
    </xf>
    <xf numFmtId="164" fontId="3" fillId="11" borderId="0" xfId="0" applyNumberFormat="1" applyFont="1" applyFill="1"/>
    <xf numFmtId="14" fontId="3" fillId="11" borderId="0" xfId="2" applyNumberFormat="1" applyFont="1" applyFill="1" applyAlignment="1">
      <alignment horizontal="center"/>
    </xf>
    <xf numFmtId="49" fontId="0" fillId="0" borderId="1" xfId="0" applyNumberFormat="1" applyBorder="1" applyAlignment="1">
      <alignment horizontal="center"/>
    </xf>
    <xf numFmtId="0" fontId="3" fillId="11" borderId="0" xfId="0" applyFont="1" applyFill="1" applyAlignment="1">
      <alignment horizontal="left" indent="1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01_COLECCIONES/PRECIOS/LISTA%20DE%20PRECIOS%20ESPECIALES.xlsx" TargetMode="External"/><Relationship Id="rId2" Type="http://schemas.openxmlformats.org/officeDocument/2006/relationships/externalLinkPath" Target="file:///C:\Users\super\Desktop\FORMATEX%2019-12\FORMATEX\01_COLECCIONES\PRECIOS\LISTA%20DE%20PRECIOS%20ESPECIALES.xlsx" TargetMode="External"/><Relationship Id="rId1" Type="http://schemas.openxmlformats.org/officeDocument/2006/relationships/externalLinkPath" Target="/Users/super/Desktop/FORMATEX%2019-12/FORMATEX/01_COLECCIONES/PRECIOS/LISTA%20DE%20PRECIOS%20ESPECIALE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uper\Desktop\FORMATEX%2019-12\FORMATEX\19_CHIEF%20OF%20STAFF\01_Aumento%20de%20precios%20FORMATEX%20JUN-26\00_ANALISIS%20AUMENTO%20DE%20PRECIOS%20FORMATEX.xlsx" TargetMode="External"/><Relationship Id="rId1" Type="http://schemas.openxmlformats.org/officeDocument/2006/relationships/externalLinkPath" Target="00_ANALISIS%20AUMENTO%20DE%20PRECIOS%20FORMATE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umoine"/>
      <sheetName val="Maria Eugenia Moller"/>
      <sheetName val="Muebles Krill"/>
      <sheetName val="PASSION"/>
      <sheetName val="PLASCENCIA"/>
      <sheetName val="PRECIOS ESPECIALES"/>
      <sheetName val="3IYO"/>
      <sheetName val="7 Days Muebles"/>
      <sheetName val="Almacenes Camarena"/>
      <sheetName val="B&amp;san"/>
      <sheetName val="BOAL"/>
      <sheetName val="Del Toro"/>
      <sheetName val="Genesis"/>
      <sheetName val="Industrias Freg"/>
      <sheetName val="Lorena Isabel Corral"/>
      <sheetName val="Moises Ramirez Bonnet"/>
      <sheetName val="Taosa"/>
      <sheetName val="WFI"/>
      <sheetName val="Zaz Muebles y-o Douriet"/>
      <sheetName val="RIBATELAS"/>
      <sheetName val="CESAR ROBLES"/>
      <sheetName val="Acor Industrial"/>
      <sheetName val="GIMUEBLES"/>
      <sheetName val="DOMINGO HERNANDEZ"/>
      <sheetName val="OLD RAVEN FURNITURE COMPANY"/>
      <sheetName val="Manuel Carmona 1"/>
      <sheetName val="Manuel Carmona"/>
      <sheetName val="Antonio Lugo"/>
      <sheetName val="Confort y Diseño"/>
      <sheetName val="El Tío"/>
      <sheetName val="Muebles Kasia"/>
      <sheetName val="Skanor"/>
      <sheetName val="Sofa Mex"/>
      <sheetName val="Salas Dimap"/>
      <sheetName val="Versus"/>
      <sheetName val="Monica Araceli Bernal Arzate"/>
      <sheetName val="MARPE"/>
      <sheetName val="PHG Plata"/>
      <sheetName val="American Source"/>
      <sheetName val="Juana Lizbeth Salinas"/>
      <sheetName val="COMERCIALIZADORA SERRA"/>
      <sheetName val="Toda FM"/>
      <sheetName val="Hoja1"/>
      <sheetName val="Diferencias 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1">
          <cell r="A1"/>
          <cell r="H1"/>
          <cell r="I1"/>
          <cell r="J1"/>
          <cell r="K1"/>
          <cell r="L1"/>
          <cell r="Q1"/>
        </row>
        <row r="2">
          <cell r="A2" t="str">
            <v xml:space="preserve">OPEN LINE </v>
          </cell>
          <cell r="H2" t="str">
            <v xml:space="preserve">F5 </v>
          </cell>
          <cell r="I2" t="str">
            <v>F6</v>
          </cell>
          <cell r="J2" t="str">
            <v>F7</v>
          </cell>
          <cell r="K2" t="str">
            <v>F8</v>
          </cell>
          <cell r="L2" t="str">
            <v>F9</v>
          </cell>
          <cell r="M2" t="str">
            <v>F10</v>
          </cell>
          <cell r="Q2"/>
          <cell r="R2"/>
        </row>
        <row r="3">
          <cell r="A3" t="str">
            <v>TELA</v>
          </cell>
          <cell r="H3" t="str">
            <v>Mayoreo</v>
          </cell>
          <cell r="I3" t="str">
            <v>Mayoreo Especializado      -5%</v>
          </cell>
          <cell r="J3" t="str">
            <v>M.E. Corte          +10%</v>
          </cell>
          <cell r="K3" t="str">
            <v>Mayoreo Premium            -10%</v>
          </cell>
          <cell r="L3" t="str">
            <v xml:space="preserve">MP +10% no sistema           </v>
          </cell>
          <cell r="M3" t="str">
            <v>no  sistema           -15 %</v>
          </cell>
          <cell r="Q3" t="str">
            <v>AUMENTO REALIZADO</v>
          </cell>
          <cell r="R3" t="str">
            <v>Linea</v>
          </cell>
        </row>
        <row r="4">
          <cell r="A4" t="str">
            <v>ACOSTA</v>
          </cell>
          <cell r="H4">
            <v>383.9</v>
          </cell>
          <cell r="I4">
            <v>364.70499999999998</v>
          </cell>
          <cell r="J4">
            <v>401.1755</v>
          </cell>
          <cell r="K4">
            <v>345.51</v>
          </cell>
          <cell r="L4">
            <v>380.06099999999998</v>
          </cell>
          <cell r="M4">
            <v>326.315</v>
          </cell>
          <cell r="Q4">
            <v>0.1</v>
          </cell>
          <cell r="R4"/>
        </row>
        <row r="5">
          <cell r="A5" t="str">
            <v>ALANIS</v>
          </cell>
          <cell r="H5">
            <v>88.724999999999994</v>
          </cell>
          <cell r="I5">
            <v>84.288749999999993</v>
          </cell>
          <cell r="J5">
            <v>92.717624999999998</v>
          </cell>
          <cell r="K5">
            <v>79.852499999999992</v>
          </cell>
          <cell r="L5">
            <v>87.837749999999986</v>
          </cell>
          <cell r="M5">
            <v>75.416249999999991</v>
          </cell>
          <cell r="Q5">
            <v>0.05</v>
          </cell>
          <cell r="R5"/>
        </row>
        <row r="6">
          <cell r="A6" t="str">
            <v>ALASKA</v>
          </cell>
          <cell r="H6">
            <v>416.9</v>
          </cell>
          <cell r="I6">
            <v>396.05499999999995</v>
          </cell>
          <cell r="J6">
            <v>435.66049999999996</v>
          </cell>
          <cell r="K6">
            <v>375.21</v>
          </cell>
          <cell r="L6">
            <v>412.73099999999999</v>
          </cell>
          <cell r="M6">
            <v>354.36500000000001</v>
          </cell>
          <cell r="Q6">
            <v>0.1</v>
          </cell>
          <cell r="R6"/>
        </row>
        <row r="7">
          <cell r="A7" t="str">
            <v>ALBA</v>
          </cell>
          <cell r="H7">
            <v>251.9</v>
          </cell>
          <cell r="I7">
            <v>239.30500000000001</v>
          </cell>
          <cell r="J7">
            <v>263.2355</v>
          </cell>
          <cell r="K7">
            <v>226.71</v>
          </cell>
          <cell r="L7">
            <v>249.381</v>
          </cell>
          <cell r="M7">
            <v>214.11500000000001</v>
          </cell>
          <cell r="Q7">
            <v>0.1</v>
          </cell>
          <cell r="R7" t="str">
            <v>NOVATEX</v>
          </cell>
        </row>
        <row r="8">
          <cell r="A8" t="str">
            <v>ALBANI</v>
          </cell>
          <cell r="H8">
            <v>97.9</v>
          </cell>
          <cell r="I8">
            <v>93.00500000000001</v>
          </cell>
          <cell r="J8">
            <v>102.30550000000002</v>
          </cell>
          <cell r="K8">
            <v>88.11</v>
          </cell>
          <cell r="L8">
            <v>96.920999999999992</v>
          </cell>
          <cell r="M8">
            <v>83.215000000000003</v>
          </cell>
          <cell r="Q8">
            <v>0.1</v>
          </cell>
          <cell r="R8"/>
        </row>
        <row r="9">
          <cell r="A9" t="str">
            <v>ALFAX</v>
          </cell>
          <cell r="H9">
            <v>707.14599999999996</v>
          </cell>
          <cell r="I9">
            <v>671.78869999999995</v>
          </cell>
          <cell r="J9">
            <v>738.96757000000002</v>
          </cell>
          <cell r="K9">
            <v>636.43139999999994</v>
          </cell>
          <cell r="L9">
            <v>700.07453999999996</v>
          </cell>
          <cell r="M9">
            <v>601.07409999999993</v>
          </cell>
          <cell r="Q9">
            <v>0.1</v>
          </cell>
          <cell r="R9" t="str">
            <v>DESC</v>
          </cell>
        </row>
        <row r="10">
          <cell r="A10" t="str">
            <v>ALISTAIR</v>
          </cell>
          <cell r="H10">
            <v>142.44999999999999</v>
          </cell>
          <cell r="I10">
            <v>135.32749999999999</v>
          </cell>
          <cell r="J10">
            <v>148.86025000000001</v>
          </cell>
          <cell r="K10">
            <v>128.20499999999998</v>
          </cell>
          <cell r="L10">
            <v>141.02549999999999</v>
          </cell>
          <cell r="M10">
            <v>121.0825</v>
          </cell>
          <cell r="Q10">
            <v>0.1</v>
          </cell>
          <cell r="R10"/>
        </row>
        <row r="11">
          <cell r="A11" t="str">
            <v>ALPACA</v>
          </cell>
          <cell r="H11">
            <v>174.9</v>
          </cell>
          <cell r="I11">
            <v>166.155</v>
          </cell>
          <cell r="J11">
            <v>182.77050000000003</v>
          </cell>
          <cell r="K11">
            <v>157.41</v>
          </cell>
          <cell r="L11">
            <v>173.15100000000001</v>
          </cell>
          <cell r="M11">
            <v>148.66500000000002</v>
          </cell>
          <cell r="Q11">
            <v>0.1</v>
          </cell>
          <cell r="R11"/>
        </row>
        <row r="12">
          <cell r="A12" t="str">
            <v>ALPS</v>
          </cell>
          <cell r="H12">
            <v>427.9</v>
          </cell>
          <cell r="I12">
            <v>406.505</v>
          </cell>
          <cell r="J12">
            <v>447.15550000000002</v>
          </cell>
          <cell r="K12">
            <v>385.10999999999996</v>
          </cell>
          <cell r="L12">
            <v>423.62099999999998</v>
          </cell>
          <cell r="M12">
            <v>363.71499999999997</v>
          </cell>
          <cell r="Q12">
            <v>0.1</v>
          </cell>
          <cell r="R12"/>
        </row>
        <row r="13">
          <cell r="A13" t="str">
            <v>AMARA</v>
          </cell>
          <cell r="H13">
            <v>198.45</v>
          </cell>
          <cell r="I13">
            <v>188.52749999999997</v>
          </cell>
          <cell r="J13">
            <v>207.38024999999999</v>
          </cell>
          <cell r="K13">
            <v>178.60499999999999</v>
          </cell>
          <cell r="L13">
            <v>196.46549999999999</v>
          </cell>
          <cell r="M13">
            <v>168.6825</v>
          </cell>
          <cell r="Q13">
            <v>0.05</v>
          </cell>
          <cell r="R13" t="str">
            <v>REVOLUTION
FEB 2026</v>
          </cell>
        </row>
        <row r="14">
          <cell r="A14" t="str">
            <v>AMAZON</v>
          </cell>
          <cell r="H14">
            <v>166.95</v>
          </cell>
          <cell r="I14">
            <v>158.60249999999999</v>
          </cell>
          <cell r="J14">
            <v>174.46275</v>
          </cell>
          <cell r="K14">
            <v>150.255</v>
          </cell>
          <cell r="L14">
            <v>165.28049999999999</v>
          </cell>
          <cell r="M14">
            <v>141.9075</v>
          </cell>
          <cell r="Q14">
            <v>0.05</v>
          </cell>
          <cell r="R14" t="str">
            <v>REVOLUTION</v>
          </cell>
        </row>
        <row r="15">
          <cell r="A15" t="str">
            <v>AMICO</v>
          </cell>
          <cell r="H15">
            <v>174.9</v>
          </cell>
          <cell r="I15">
            <v>166.155</v>
          </cell>
          <cell r="J15">
            <v>182.77050000000003</v>
          </cell>
          <cell r="K15">
            <v>157.41</v>
          </cell>
          <cell r="L15">
            <v>173.15100000000001</v>
          </cell>
          <cell r="M15">
            <v>148.66500000000002</v>
          </cell>
          <cell r="Q15">
            <v>0.1</v>
          </cell>
          <cell r="R15" t="str">
            <v>NOVATEX
FEB 2026</v>
          </cell>
        </row>
        <row r="16">
          <cell r="A16" t="str">
            <v>ANCESTRY</v>
          </cell>
          <cell r="H16">
            <v>398.47500000000002</v>
          </cell>
          <cell r="I16">
            <v>378.55125000000004</v>
          </cell>
          <cell r="J16">
            <v>416.40637500000008</v>
          </cell>
          <cell r="K16">
            <v>358.6275</v>
          </cell>
          <cell r="L16">
            <v>394.49025</v>
          </cell>
          <cell r="M16">
            <v>338.70375000000001</v>
          </cell>
          <cell r="Q16">
            <v>0.05</v>
          </cell>
          <cell r="R16" t="str">
            <v>REVOLUTION</v>
          </cell>
        </row>
        <row r="17">
          <cell r="A17" t="str">
            <v>ANGELO</v>
          </cell>
          <cell r="H17">
            <v>383.9</v>
          </cell>
          <cell r="I17">
            <v>364.70499999999998</v>
          </cell>
          <cell r="J17">
            <v>401.1755</v>
          </cell>
          <cell r="K17">
            <v>345.51</v>
          </cell>
          <cell r="L17">
            <v>380.06099999999998</v>
          </cell>
          <cell r="M17">
            <v>326.315</v>
          </cell>
          <cell r="Q17">
            <v>0.1</v>
          </cell>
          <cell r="R17" t="str">
            <v>NOVATEX</v>
          </cell>
        </row>
        <row r="18">
          <cell r="A18" t="str">
            <v>ANGOLA</v>
          </cell>
          <cell r="H18">
            <v>408.69150000000002</v>
          </cell>
          <cell r="I18">
            <v>388.25692500000002</v>
          </cell>
          <cell r="J18">
            <v>427.08261750000008</v>
          </cell>
          <cell r="K18">
            <v>367.82235000000003</v>
          </cell>
          <cell r="L18">
            <v>404.60458500000004</v>
          </cell>
          <cell r="M18">
            <v>347.38777500000003</v>
          </cell>
          <cell r="Q18">
            <v>0.05</v>
          </cell>
          <cell r="R18" t="str">
            <v>REVOLUTION</v>
          </cell>
        </row>
        <row r="19">
          <cell r="A19" t="str">
            <v>ANNA YT</v>
          </cell>
          <cell r="H19">
            <v>122.36399999999999</v>
          </cell>
          <cell r="I19">
            <v>116.24579999999999</v>
          </cell>
          <cell r="J19">
            <v>127.87038</v>
          </cell>
          <cell r="K19">
            <v>110.12759999999999</v>
          </cell>
          <cell r="L19">
            <v>121.14035999999999</v>
          </cell>
          <cell r="M19">
            <v>104.0094</v>
          </cell>
          <cell r="Q19">
            <v>0.1</v>
          </cell>
          <cell r="R19"/>
        </row>
        <row r="20">
          <cell r="A20" t="str">
            <v>AREZZO</v>
          </cell>
          <cell r="H20">
            <v>130.9</v>
          </cell>
          <cell r="I20">
            <v>124.355</v>
          </cell>
          <cell r="J20">
            <v>136.79050000000001</v>
          </cell>
          <cell r="K20">
            <v>117.81</v>
          </cell>
          <cell r="L20">
            <v>129.59100000000001</v>
          </cell>
          <cell r="M20">
            <v>111.265</v>
          </cell>
          <cell r="Q20">
            <v>0.1</v>
          </cell>
          <cell r="R20" t="str">
            <v>NOVATEX
FEB 2026</v>
          </cell>
        </row>
        <row r="21">
          <cell r="A21" t="str">
            <v>ARIA</v>
          </cell>
          <cell r="H21">
            <v>506.99</v>
          </cell>
          <cell r="I21">
            <v>481.64050000000003</v>
          </cell>
          <cell r="J21">
            <v>529.80455000000006</v>
          </cell>
          <cell r="K21">
            <v>456.291</v>
          </cell>
          <cell r="L21">
            <v>501.92009999999999</v>
          </cell>
          <cell r="M21">
            <v>430.94150000000002</v>
          </cell>
          <cell r="Q21">
            <v>0.1</v>
          </cell>
          <cell r="R21" t="str">
            <v>NOVATEX</v>
          </cell>
        </row>
        <row r="22">
          <cell r="A22" t="str">
            <v>ARIES B</v>
          </cell>
          <cell r="H22">
            <v>477.95</v>
          </cell>
          <cell r="I22">
            <v>454.05250000000001</v>
          </cell>
          <cell r="J22">
            <v>499.45775000000003</v>
          </cell>
          <cell r="K22">
            <v>430.15499999999997</v>
          </cell>
          <cell r="L22">
            <v>473.17049999999995</v>
          </cell>
          <cell r="M22">
            <v>406.25749999999999</v>
          </cell>
          <cell r="Q22">
            <v>0.1</v>
          </cell>
          <cell r="R22" t="str">
            <v>DESC</v>
          </cell>
        </row>
        <row r="23">
          <cell r="A23" t="str">
            <v>ARMADA</v>
          </cell>
          <cell r="H23">
            <v>471.45</v>
          </cell>
          <cell r="I23">
            <v>447.8775</v>
          </cell>
          <cell r="J23">
            <v>492.66525000000001</v>
          </cell>
          <cell r="K23">
            <v>424.30500000000001</v>
          </cell>
          <cell r="L23">
            <v>466.7355</v>
          </cell>
          <cell r="M23">
            <v>400.73249999999996</v>
          </cell>
          <cell r="Q23">
            <v>0.05</v>
          </cell>
          <cell r="R23" t="str">
            <v>REVOLUTION</v>
          </cell>
        </row>
        <row r="24">
          <cell r="A24" t="str">
            <v>ARTICLE</v>
          </cell>
          <cell r="H24">
            <v>97.9</v>
          </cell>
          <cell r="I24">
            <v>93.00500000000001</v>
          </cell>
          <cell r="J24">
            <v>102.30550000000002</v>
          </cell>
          <cell r="K24">
            <v>88.11</v>
          </cell>
          <cell r="L24">
            <v>96.920999999999992</v>
          </cell>
          <cell r="M24">
            <v>83.215000000000003</v>
          </cell>
          <cell r="Q24">
            <v>0.1</v>
          </cell>
          <cell r="R24"/>
        </row>
        <row r="25">
          <cell r="A25" t="str">
            <v>ARTWORKS</v>
          </cell>
          <cell r="H25">
            <v>378.95</v>
          </cell>
          <cell r="I25">
            <v>360.0025</v>
          </cell>
          <cell r="J25">
            <v>396.00275000000005</v>
          </cell>
          <cell r="K25">
            <v>341.05500000000001</v>
          </cell>
          <cell r="L25">
            <v>375.16050000000001</v>
          </cell>
          <cell r="M25">
            <v>322.10750000000002</v>
          </cell>
          <cell r="Q25">
            <v>0.1</v>
          </cell>
          <cell r="R25"/>
        </row>
        <row r="26">
          <cell r="A26" t="str">
            <v>ASTERI</v>
          </cell>
          <cell r="H26">
            <v>83.082999999999998</v>
          </cell>
          <cell r="I26">
            <v>78.928849999999997</v>
          </cell>
          <cell r="J26">
            <v>86.821735000000004</v>
          </cell>
          <cell r="K26">
            <v>74.774699999999996</v>
          </cell>
          <cell r="L26">
            <v>82.252169999999992</v>
          </cell>
          <cell r="M26">
            <v>70.620549999999994</v>
          </cell>
          <cell r="Q26">
            <v>0.1</v>
          </cell>
          <cell r="R26" t="str">
            <v>DESC</v>
          </cell>
        </row>
        <row r="27">
          <cell r="A27" t="str">
            <v>ATEZ</v>
          </cell>
          <cell r="H27">
            <v>377.80599999999998</v>
          </cell>
          <cell r="I27">
            <v>358.91569999999996</v>
          </cell>
          <cell r="J27">
            <v>394.80726999999996</v>
          </cell>
          <cell r="K27">
            <v>340.02539999999999</v>
          </cell>
          <cell r="L27">
            <v>374.02794</v>
          </cell>
          <cell r="M27">
            <v>321.13509999999997</v>
          </cell>
          <cell r="Q27">
            <v>0.1</v>
          </cell>
          <cell r="R27" t="str">
            <v>DESC</v>
          </cell>
        </row>
        <row r="28">
          <cell r="A28" t="str">
            <v>ATHENA</v>
          </cell>
          <cell r="H28">
            <v>307.45</v>
          </cell>
          <cell r="I28">
            <v>292.07749999999999</v>
          </cell>
          <cell r="J28">
            <v>321.28525000000002</v>
          </cell>
          <cell r="K28">
            <v>276.70499999999998</v>
          </cell>
          <cell r="L28">
            <v>304.37549999999999</v>
          </cell>
          <cell r="M28">
            <v>261.33249999999998</v>
          </cell>
          <cell r="Q28">
            <v>0.1</v>
          </cell>
          <cell r="R28" t="str">
            <v>DESC</v>
          </cell>
        </row>
        <row r="29">
          <cell r="A29" t="str">
            <v>ATLANTIS</v>
          </cell>
          <cell r="H29">
            <v>269.04899999999998</v>
          </cell>
          <cell r="I29">
            <v>255.59654999999998</v>
          </cell>
          <cell r="J29">
            <v>281.156205</v>
          </cell>
          <cell r="K29">
            <v>242.14409999999998</v>
          </cell>
          <cell r="L29">
            <v>266.35850999999997</v>
          </cell>
          <cell r="M29">
            <v>228.69164999999998</v>
          </cell>
          <cell r="Q29">
            <v>0.1</v>
          </cell>
          <cell r="R29"/>
        </row>
        <row r="30">
          <cell r="A30" t="str">
            <v>ATLAS</v>
          </cell>
          <cell r="H30">
            <v>245.42100000000002</v>
          </cell>
          <cell r="I30">
            <v>233.14995000000002</v>
          </cell>
          <cell r="J30">
            <v>256.46494500000006</v>
          </cell>
          <cell r="K30">
            <v>220.87890000000002</v>
          </cell>
          <cell r="L30">
            <v>242.96679</v>
          </cell>
          <cell r="M30">
            <v>208.60785000000001</v>
          </cell>
          <cell r="Q30">
            <v>0.1</v>
          </cell>
          <cell r="R30" t="str">
            <v>DESC</v>
          </cell>
        </row>
        <row r="31">
          <cell r="A31" t="str">
            <v>AURY</v>
          </cell>
          <cell r="H31">
            <v>169.95</v>
          </cell>
          <cell r="I31">
            <v>161.45249999999999</v>
          </cell>
          <cell r="J31">
            <v>177.59774999999999</v>
          </cell>
          <cell r="K31">
            <v>152.95499999999998</v>
          </cell>
          <cell r="L31">
            <v>168.25049999999999</v>
          </cell>
          <cell r="M31">
            <v>144.45749999999998</v>
          </cell>
          <cell r="Q31">
            <v>0.1</v>
          </cell>
          <cell r="R31" t="str">
            <v>SORELLA
BLACK OUT</v>
          </cell>
        </row>
        <row r="32">
          <cell r="A32" t="str">
            <v>AURY DOUBLE</v>
          </cell>
          <cell r="H32">
            <v>361.9</v>
          </cell>
          <cell r="I32">
            <v>343.80499999999995</v>
          </cell>
          <cell r="J32">
            <v>378.18549999999999</v>
          </cell>
          <cell r="K32">
            <v>325.70999999999998</v>
          </cell>
          <cell r="L32">
            <v>358.28099999999995</v>
          </cell>
          <cell r="M32">
            <v>307.61500000000001</v>
          </cell>
          <cell r="Q32">
            <v>0.1</v>
          </cell>
          <cell r="R32" t="str">
            <v>SORELLA
BLACK OUT</v>
          </cell>
        </row>
        <row r="33">
          <cell r="A33" t="str">
            <v>AVALANCHE</v>
          </cell>
          <cell r="H33">
            <v>139</v>
          </cell>
          <cell r="I33">
            <v>132.05000000000001</v>
          </cell>
          <cell r="J33">
            <v>145.25500000000002</v>
          </cell>
          <cell r="K33">
            <v>125.1</v>
          </cell>
          <cell r="L33">
            <v>137.60999999999999</v>
          </cell>
          <cell r="M33">
            <v>118.15</v>
          </cell>
          <cell r="Q33">
            <v>0</v>
          </cell>
          <cell r="R33"/>
        </row>
        <row r="34">
          <cell r="A34" t="str">
            <v>AXIS</v>
          </cell>
          <cell r="H34">
            <v>296.45</v>
          </cell>
          <cell r="I34">
            <v>281.6275</v>
          </cell>
          <cell r="J34">
            <v>309.79025000000001</v>
          </cell>
          <cell r="K34">
            <v>266.80500000000001</v>
          </cell>
          <cell r="L34">
            <v>293.4855</v>
          </cell>
          <cell r="M34">
            <v>251.98249999999999</v>
          </cell>
          <cell r="Q34">
            <v>0.1</v>
          </cell>
          <cell r="R34"/>
        </row>
        <row r="35">
          <cell r="A35" t="str">
            <v>BACKGAMMON</v>
          </cell>
          <cell r="H35">
            <v>427.9</v>
          </cell>
          <cell r="I35">
            <v>406.505</v>
          </cell>
          <cell r="J35">
            <v>447.15550000000002</v>
          </cell>
          <cell r="K35">
            <v>385.10999999999996</v>
          </cell>
          <cell r="L35">
            <v>423.62099999999998</v>
          </cell>
          <cell r="M35">
            <v>363.71499999999997</v>
          </cell>
          <cell r="Q35">
            <v>0.1</v>
          </cell>
          <cell r="R35" t="str">
            <v>RECYCLE</v>
          </cell>
        </row>
        <row r="36">
          <cell r="A36" t="str">
            <v>BAKER</v>
          </cell>
          <cell r="H36">
            <v>139</v>
          </cell>
          <cell r="I36">
            <v>132.05000000000001</v>
          </cell>
          <cell r="J36">
            <v>145.25500000000002</v>
          </cell>
          <cell r="K36">
            <v>125.1</v>
          </cell>
          <cell r="L36">
            <v>137.60999999999999</v>
          </cell>
          <cell r="M36">
            <v>118.15</v>
          </cell>
          <cell r="Q36">
            <v>0</v>
          </cell>
          <cell r="R36"/>
        </row>
        <row r="37">
          <cell r="A37" t="str">
            <v>BALI</v>
          </cell>
          <cell r="H37">
            <v>124.179</v>
          </cell>
          <cell r="I37">
            <v>117.97005</v>
          </cell>
          <cell r="J37">
            <v>129.767055</v>
          </cell>
          <cell r="K37">
            <v>111.7611</v>
          </cell>
          <cell r="L37">
            <v>122.93720999999999</v>
          </cell>
          <cell r="M37">
            <v>105.55215</v>
          </cell>
          <cell r="Q37">
            <v>0.1</v>
          </cell>
          <cell r="R37"/>
        </row>
        <row r="38">
          <cell r="A38" t="str">
            <v>BANDEAU</v>
          </cell>
          <cell r="H38">
            <v>416.51400000000001</v>
          </cell>
          <cell r="I38">
            <v>395.68830000000003</v>
          </cell>
          <cell r="J38">
            <v>435.25713000000007</v>
          </cell>
          <cell r="K38">
            <v>374.86259999999999</v>
          </cell>
          <cell r="L38">
            <v>412.34886</v>
          </cell>
          <cell r="M38">
            <v>354.0369</v>
          </cell>
          <cell r="Q38">
            <v>0.05</v>
          </cell>
          <cell r="R38" t="str">
            <v>REVOLUTION
OUTDOOR</v>
          </cell>
        </row>
        <row r="39">
          <cell r="A39" t="str">
            <v>BANDIT</v>
          </cell>
          <cell r="H39">
            <v>317.89999999999998</v>
          </cell>
          <cell r="I39">
            <v>302.005</v>
          </cell>
          <cell r="J39">
            <v>332.20550000000003</v>
          </cell>
          <cell r="K39">
            <v>286.10999999999996</v>
          </cell>
          <cell r="L39">
            <v>314.72099999999995</v>
          </cell>
          <cell r="M39">
            <v>270.21499999999997</v>
          </cell>
          <cell r="Q39">
            <v>0.1</v>
          </cell>
          <cell r="R39" t="str">
            <v>FEB 2026</v>
          </cell>
        </row>
        <row r="40">
          <cell r="A40" t="str">
            <v>BARCE</v>
          </cell>
          <cell r="H40">
            <v>141.29499999999999</v>
          </cell>
          <cell r="I40">
            <v>134.23024999999998</v>
          </cell>
          <cell r="J40">
            <v>147.65327500000001</v>
          </cell>
          <cell r="K40">
            <v>127.16549999999998</v>
          </cell>
          <cell r="L40">
            <v>139.88204999999999</v>
          </cell>
          <cell r="M40">
            <v>120.10074999999999</v>
          </cell>
          <cell r="Q40">
            <v>0.1</v>
          </cell>
          <cell r="R40" t="str">
            <v>DESC</v>
          </cell>
        </row>
        <row r="41">
          <cell r="A41" t="str">
            <v>BARLETTA</v>
          </cell>
          <cell r="H41">
            <v>339.9</v>
          </cell>
          <cell r="I41">
            <v>322.90499999999997</v>
          </cell>
          <cell r="J41">
            <v>355.19549999999998</v>
          </cell>
          <cell r="K41">
            <v>305.90999999999997</v>
          </cell>
          <cell r="L41">
            <v>336.50099999999998</v>
          </cell>
          <cell r="M41">
            <v>288.91499999999996</v>
          </cell>
          <cell r="Q41">
            <v>0.1</v>
          </cell>
          <cell r="R41" t="str">
            <v>NOVATEX</v>
          </cell>
        </row>
        <row r="42">
          <cell r="A42" t="str">
            <v>BARREL</v>
          </cell>
          <cell r="H42">
            <v>99</v>
          </cell>
          <cell r="I42">
            <v>94.05</v>
          </cell>
          <cell r="J42">
            <v>103.455</v>
          </cell>
          <cell r="K42">
            <v>89.1</v>
          </cell>
          <cell r="L42">
            <v>98.009999999999991</v>
          </cell>
          <cell r="M42">
            <v>84.15</v>
          </cell>
          <cell r="Q42">
            <v>0</v>
          </cell>
          <cell r="R42"/>
        </row>
        <row r="43">
          <cell r="A43" t="str">
            <v xml:space="preserve">BASIC </v>
          </cell>
          <cell r="H43">
            <v>127.369</v>
          </cell>
          <cell r="I43">
            <v>121.00055</v>
          </cell>
          <cell r="J43">
            <v>133.100605</v>
          </cell>
          <cell r="K43">
            <v>114.63209999999999</v>
          </cell>
          <cell r="L43">
            <v>126.09531</v>
          </cell>
          <cell r="M43">
            <v>108.26365</v>
          </cell>
          <cell r="Q43">
            <v>0.1</v>
          </cell>
          <cell r="R43" t="str">
            <v>DESC</v>
          </cell>
        </row>
        <row r="44">
          <cell r="A44" t="str">
            <v>BEACHBAG</v>
          </cell>
          <cell r="H44">
            <v>482.9</v>
          </cell>
          <cell r="I44">
            <v>458.755</v>
          </cell>
          <cell r="J44">
            <v>504.63050000000004</v>
          </cell>
          <cell r="K44">
            <v>434.60999999999996</v>
          </cell>
          <cell r="L44">
            <v>478.07099999999997</v>
          </cell>
          <cell r="M44">
            <v>410.46499999999997</v>
          </cell>
          <cell r="Q44">
            <v>0.1</v>
          </cell>
          <cell r="R44" t="str">
            <v>SUNBELIEVABLE</v>
          </cell>
        </row>
        <row r="45">
          <cell r="A45" t="str">
            <v>BEANIE</v>
          </cell>
          <cell r="H45">
            <v>526.9</v>
          </cell>
          <cell r="I45">
            <v>500.55499999999995</v>
          </cell>
          <cell r="J45">
            <v>550.6105</v>
          </cell>
          <cell r="K45">
            <v>474.21</v>
          </cell>
          <cell r="L45">
            <v>521.63099999999997</v>
          </cell>
          <cell r="M45">
            <v>447.86500000000001</v>
          </cell>
          <cell r="Q45">
            <v>0.1</v>
          </cell>
          <cell r="R45" t="str">
            <v>SUNBELIEVABLE</v>
          </cell>
        </row>
        <row r="46">
          <cell r="A46" t="str">
            <v>BECKON</v>
          </cell>
          <cell r="H46">
            <v>405.22649999999999</v>
          </cell>
          <cell r="I46">
            <v>384.96517499999999</v>
          </cell>
          <cell r="J46">
            <v>423.46169250000003</v>
          </cell>
          <cell r="K46">
            <v>364.70384999999999</v>
          </cell>
          <cell r="L46">
            <v>401.17423500000001</v>
          </cell>
          <cell r="M46">
            <v>344.44252499999999</v>
          </cell>
          <cell r="Q46">
            <v>0.05</v>
          </cell>
          <cell r="R46" t="str">
            <v>REVOLUTION
OUTDOOR</v>
          </cell>
        </row>
        <row r="47">
          <cell r="A47" t="str">
            <v>BELGIAN</v>
          </cell>
          <cell r="H47">
            <v>292.95</v>
          </cell>
          <cell r="I47">
            <v>278.30250000000001</v>
          </cell>
          <cell r="J47">
            <v>306.13275000000004</v>
          </cell>
          <cell r="K47">
            <v>263.65499999999997</v>
          </cell>
          <cell r="L47">
            <v>290.02049999999997</v>
          </cell>
          <cell r="M47">
            <v>249.00749999999999</v>
          </cell>
          <cell r="Q47">
            <v>0.05</v>
          </cell>
          <cell r="R47" t="str">
            <v>REVOLUTION</v>
          </cell>
        </row>
        <row r="48">
          <cell r="A48" t="str">
            <v>BELLA</v>
          </cell>
          <cell r="H48">
            <v>519.08999999999992</v>
          </cell>
          <cell r="I48">
            <v>493.13549999999992</v>
          </cell>
          <cell r="J48">
            <v>542.44904999999994</v>
          </cell>
          <cell r="K48">
            <v>467.18099999999993</v>
          </cell>
          <cell r="L48">
            <v>513.89909999999986</v>
          </cell>
          <cell r="M48">
            <v>441.22649999999993</v>
          </cell>
          <cell r="Q48">
            <v>0.1</v>
          </cell>
          <cell r="R48" t="str">
            <v>NOVATEX</v>
          </cell>
        </row>
        <row r="49">
          <cell r="A49" t="str">
            <v>BELUCCI</v>
          </cell>
          <cell r="H49">
            <v>62.475000000000001</v>
          </cell>
          <cell r="I49">
            <v>59.35125</v>
          </cell>
          <cell r="J49">
            <v>65.286375000000007</v>
          </cell>
          <cell r="K49">
            <v>56.227499999999999</v>
          </cell>
          <cell r="L49">
            <v>61.850250000000003</v>
          </cell>
          <cell r="M49">
            <v>53.103750000000005</v>
          </cell>
          <cell r="Q49">
            <v>0.05</v>
          </cell>
          <cell r="R49"/>
        </row>
        <row r="50">
          <cell r="A50" t="str">
            <v>BENDER</v>
          </cell>
          <cell r="H50">
            <v>229.95</v>
          </cell>
          <cell r="I50">
            <v>218.45249999999999</v>
          </cell>
          <cell r="J50">
            <v>240.29775000000001</v>
          </cell>
          <cell r="K50">
            <v>206.95499999999998</v>
          </cell>
          <cell r="L50">
            <v>227.65049999999999</v>
          </cell>
          <cell r="M50">
            <v>195.45749999999998</v>
          </cell>
          <cell r="Q50">
            <v>0.05</v>
          </cell>
          <cell r="R50" t="str">
            <v>REVOLUTION
FEB 2026</v>
          </cell>
        </row>
        <row r="51">
          <cell r="A51" t="str">
            <v>BERGEN</v>
          </cell>
          <cell r="H51">
            <v>219.45</v>
          </cell>
          <cell r="I51">
            <v>208.47749999999999</v>
          </cell>
          <cell r="J51">
            <v>229.32525000000001</v>
          </cell>
          <cell r="K51">
            <v>197.505</v>
          </cell>
          <cell r="L51">
            <v>217.25549999999998</v>
          </cell>
          <cell r="M51">
            <v>186.5325</v>
          </cell>
          <cell r="Q51">
            <v>0.05</v>
          </cell>
          <cell r="R51"/>
        </row>
        <row r="52">
          <cell r="A52" t="str">
            <v>BERMUDA</v>
          </cell>
          <cell r="H52">
            <v>350.9</v>
          </cell>
          <cell r="I52">
            <v>333.35499999999996</v>
          </cell>
          <cell r="J52">
            <v>366.69049999999999</v>
          </cell>
          <cell r="K52">
            <v>315.81</v>
          </cell>
          <cell r="L52">
            <v>347.39100000000002</v>
          </cell>
          <cell r="M52">
            <v>298.26499999999999</v>
          </cell>
          <cell r="Q52">
            <v>0.1</v>
          </cell>
          <cell r="R52" t="str">
            <v>SUNBELIEVABLE</v>
          </cell>
        </row>
        <row r="53">
          <cell r="A53" t="str">
            <v>BIKENDI</v>
          </cell>
          <cell r="H53">
            <v>99.5</v>
          </cell>
          <cell r="I53">
            <v>94.525000000000006</v>
          </cell>
          <cell r="J53">
            <v>103.97750000000002</v>
          </cell>
          <cell r="K53">
            <v>89.55</v>
          </cell>
          <cell r="L53">
            <v>98.504999999999995</v>
          </cell>
          <cell r="M53">
            <v>84.575000000000003</v>
          </cell>
          <cell r="Q53">
            <v>0</v>
          </cell>
          <cell r="R53"/>
        </row>
        <row r="54">
          <cell r="A54" t="str">
            <v>BILLOW</v>
          </cell>
          <cell r="H54">
            <v>260</v>
          </cell>
          <cell r="I54">
            <v>247</v>
          </cell>
          <cell r="J54">
            <v>271.70000000000005</v>
          </cell>
          <cell r="K54">
            <v>234</v>
          </cell>
          <cell r="L54">
            <v>257.39999999999998</v>
          </cell>
          <cell r="M54">
            <v>221</v>
          </cell>
          <cell r="Q54">
            <v>0</v>
          </cell>
          <cell r="R54"/>
        </row>
        <row r="55">
          <cell r="A55" t="str">
            <v>BISCOTTI</v>
          </cell>
          <cell r="H55">
            <v>174.9</v>
          </cell>
          <cell r="I55">
            <v>166.155</v>
          </cell>
          <cell r="J55">
            <v>182.77050000000003</v>
          </cell>
          <cell r="K55">
            <v>157.41</v>
          </cell>
          <cell r="L55">
            <v>173.15100000000001</v>
          </cell>
          <cell r="M55">
            <v>148.66500000000002</v>
          </cell>
          <cell r="Q55">
            <v>0.1</v>
          </cell>
          <cell r="R55" t="str">
            <v>NOVATEX</v>
          </cell>
        </row>
        <row r="56">
          <cell r="A56" t="str">
            <v>BLEND</v>
          </cell>
          <cell r="H56">
            <v>95.77</v>
          </cell>
          <cell r="I56">
            <v>90.981499999999997</v>
          </cell>
          <cell r="J56">
            <v>100.07965</v>
          </cell>
          <cell r="K56">
            <v>86.192999999999998</v>
          </cell>
          <cell r="L56">
            <v>94.812299999999993</v>
          </cell>
          <cell r="M56">
            <v>81.404499999999999</v>
          </cell>
          <cell r="Q56">
            <v>0</v>
          </cell>
          <cell r="R56" t="str">
            <v>WATER 
REPELLENT</v>
          </cell>
        </row>
        <row r="57">
          <cell r="A57" t="str">
            <v>BLOOM</v>
          </cell>
          <cell r="H57">
            <v>82.1</v>
          </cell>
          <cell r="I57">
            <v>77.99499999999999</v>
          </cell>
          <cell r="J57">
            <v>85.794499999999999</v>
          </cell>
          <cell r="K57">
            <v>73.89</v>
          </cell>
          <cell r="L57">
            <v>81.278999999999996</v>
          </cell>
          <cell r="M57">
            <v>69.784999999999997</v>
          </cell>
          <cell r="Q57">
            <v>0</v>
          </cell>
          <cell r="R57"/>
        </row>
        <row r="58">
          <cell r="A58" t="str">
            <v>BOA</v>
          </cell>
          <cell r="H58">
            <v>460.9</v>
          </cell>
          <cell r="I58">
            <v>437.85499999999996</v>
          </cell>
          <cell r="J58">
            <v>481.64049999999997</v>
          </cell>
          <cell r="K58">
            <v>414.80999999999995</v>
          </cell>
          <cell r="L58">
            <v>456.29099999999994</v>
          </cell>
          <cell r="M58">
            <v>391.76499999999999</v>
          </cell>
          <cell r="Q58">
            <v>0.1</v>
          </cell>
          <cell r="R58"/>
        </row>
        <row r="59">
          <cell r="A59" t="str">
            <v>BONO</v>
          </cell>
          <cell r="H59">
            <v>219.45</v>
          </cell>
          <cell r="I59">
            <v>208.47749999999999</v>
          </cell>
          <cell r="J59">
            <v>229.32525000000001</v>
          </cell>
          <cell r="K59">
            <v>197.505</v>
          </cell>
          <cell r="L59">
            <v>217.25549999999998</v>
          </cell>
          <cell r="M59">
            <v>186.5325</v>
          </cell>
          <cell r="Q59">
            <v>0.1</v>
          </cell>
          <cell r="R59"/>
        </row>
        <row r="60">
          <cell r="A60" t="str">
            <v>BONTA</v>
          </cell>
          <cell r="H60">
            <v>163.9</v>
          </cell>
          <cell r="I60">
            <v>155.70500000000001</v>
          </cell>
          <cell r="J60">
            <v>171.27550000000002</v>
          </cell>
          <cell r="K60">
            <v>147.51</v>
          </cell>
          <cell r="L60">
            <v>162.261</v>
          </cell>
          <cell r="M60">
            <v>139.315</v>
          </cell>
          <cell r="Q60">
            <v>0.1</v>
          </cell>
          <cell r="R60" t="str">
            <v>NOVATEX</v>
          </cell>
        </row>
        <row r="61">
          <cell r="A61" t="str">
            <v>BOON</v>
          </cell>
          <cell r="H61">
            <v>114</v>
          </cell>
          <cell r="I61">
            <v>108.3</v>
          </cell>
          <cell r="J61">
            <v>119.13000000000001</v>
          </cell>
          <cell r="K61">
            <v>102.6</v>
          </cell>
          <cell r="L61">
            <v>112.86</v>
          </cell>
          <cell r="M61">
            <v>96.9</v>
          </cell>
          <cell r="Q61">
            <v>0</v>
          </cell>
          <cell r="R61"/>
        </row>
        <row r="62">
          <cell r="A62" t="str">
            <v>BORA BORA</v>
          </cell>
          <cell r="H62">
            <v>438.9</v>
          </cell>
          <cell r="I62">
            <v>416.95499999999998</v>
          </cell>
          <cell r="J62">
            <v>458.65050000000002</v>
          </cell>
          <cell r="K62">
            <v>395.01</v>
          </cell>
          <cell r="L62">
            <v>434.51099999999997</v>
          </cell>
          <cell r="M62">
            <v>373.065</v>
          </cell>
          <cell r="Q62">
            <v>0.1</v>
          </cell>
          <cell r="R62"/>
        </row>
        <row r="63">
          <cell r="A63" t="str">
            <v>BRAZIL</v>
          </cell>
          <cell r="H63">
            <v>492.45</v>
          </cell>
          <cell r="I63">
            <v>467.82749999999999</v>
          </cell>
          <cell r="J63">
            <v>514.61025000000006</v>
          </cell>
          <cell r="K63">
            <v>443.20499999999998</v>
          </cell>
          <cell r="L63">
            <v>487.52549999999997</v>
          </cell>
          <cell r="M63">
            <v>418.58249999999998</v>
          </cell>
          <cell r="Q63">
            <v>0.05</v>
          </cell>
          <cell r="R63" t="str">
            <v>REVOLUTION</v>
          </cell>
        </row>
        <row r="64">
          <cell r="A64" t="str">
            <v>BREATHE</v>
          </cell>
          <cell r="H64">
            <v>471.45</v>
          </cell>
          <cell r="I64">
            <v>447.8775</v>
          </cell>
          <cell r="J64">
            <v>492.66525000000001</v>
          </cell>
          <cell r="K64">
            <v>424.30500000000001</v>
          </cell>
          <cell r="L64">
            <v>466.7355</v>
          </cell>
          <cell r="M64">
            <v>400.73249999999996</v>
          </cell>
          <cell r="Q64">
            <v>0.05</v>
          </cell>
          <cell r="R64" t="str">
            <v>REVOLUTION</v>
          </cell>
        </row>
        <row r="65">
          <cell r="A65" t="str">
            <v>BRENT</v>
          </cell>
          <cell r="H65">
            <v>350.9</v>
          </cell>
          <cell r="I65">
            <v>333.35499999999996</v>
          </cell>
          <cell r="J65">
            <v>366.69049999999999</v>
          </cell>
          <cell r="K65">
            <v>315.81</v>
          </cell>
          <cell r="L65">
            <v>347.39100000000002</v>
          </cell>
          <cell r="M65">
            <v>298.26499999999999</v>
          </cell>
          <cell r="Q65">
            <v>0.1</v>
          </cell>
          <cell r="R65" t="str">
            <v>FEB 2026</v>
          </cell>
        </row>
        <row r="66">
          <cell r="A66" t="str">
            <v>BRETON</v>
          </cell>
          <cell r="H66">
            <v>239.51</v>
          </cell>
          <cell r="I66">
            <v>227.53449999999998</v>
          </cell>
          <cell r="J66">
            <v>250.28795</v>
          </cell>
          <cell r="K66">
            <v>215.559</v>
          </cell>
          <cell r="L66">
            <v>237.11490000000001</v>
          </cell>
          <cell r="M66">
            <v>203.58349999999999</v>
          </cell>
          <cell r="Q66">
            <v>0</v>
          </cell>
          <cell r="R66"/>
        </row>
        <row r="67">
          <cell r="A67" t="str">
            <v>BRIANNE</v>
          </cell>
          <cell r="H67">
            <v>487.54200000000003</v>
          </cell>
          <cell r="I67">
            <v>463.16490000000005</v>
          </cell>
          <cell r="J67">
            <v>509.48139000000009</v>
          </cell>
          <cell r="K67">
            <v>438.7878</v>
          </cell>
          <cell r="L67">
            <v>482.66658000000001</v>
          </cell>
          <cell r="M67">
            <v>414.41070000000002</v>
          </cell>
          <cell r="Q67">
            <v>0.1</v>
          </cell>
          <cell r="R67" t="str">
            <v>DESC</v>
          </cell>
        </row>
        <row r="68">
          <cell r="A68" t="str">
            <v>BRIGHT SIDE</v>
          </cell>
          <cell r="H68">
            <v>292.35149999999999</v>
          </cell>
          <cell r="I68">
            <v>277.733925</v>
          </cell>
          <cell r="J68">
            <v>305.5073175</v>
          </cell>
          <cell r="K68">
            <v>263.11635000000001</v>
          </cell>
          <cell r="L68">
            <v>289.42798500000004</v>
          </cell>
          <cell r="M68">
            <v>248.49877499999999</v>
          </cell>
          <cell r="Q68">
            <v>0.05</v>
          </cell>
          <cell r="R68" t="str">
            <v>REVOLUTION
OUTDOOR</v>
          </cell>
        </row>
        <row r="69">
          <cell r="A69" t="str">
            <v>CADDYSHACK</v>
          </cell>
          <cell r="H69">
            <v>614.9</v>
          </cell>
          <cell r="I69">
            <v>584.15499999999997</v>
          </cell>
          <cell r="J69">
            <v>642.57050000000004</v>
          </cell>
          <cell r="K69">
            <v>553.41</v>
          </cell>
          <cell r="L69">
            <v>608.75099999999998</v>
          </cell>
          <cell r="M69">
            <v>522.66499999999996</v>
          </cell>
          <cell r="Q69">
            <v>0.1</v>
          </cell>
          <cell r="R69" t="str">
            <v>SUNBELIEVABLE</v>
          </cell>
        </row>
        <row r="70">
          <cell r="A70" t="str">
            <v>CAMARGUE</v>
          </cell>
          <cell r="H70">
            <v>272.47500000000002</v>
          </cell>
          <cell r="I70">
            <v>258.85125000000005</v>
          </cell>
          <cell r="J70">
            <v>284.73637500000007</v>
          </cell>
          <cell r="K70">
            <v>245.22750000000002</v>
          </cell>
          <cell r="L70">
            <v>269.75025000000005</v>
          </cell>
          <cell r="M70">
            <v>231.60375000000002</v>
          </cell>
          <cell r="Q70">
            <v>0.05</v>
          </cell>
          <cell r="R70"/>
        </row>
        <row r="71">
          <cell r="A71" t="str">
            <v>CAMBRIDGE</v>
          </cell>
          <cell r="H71">
            <v>197.45</v>
          </cell>
          <cell r="I71">
            <v>187.57749999999999</v>
          </cell>
          <cell r="J71">
            <v>206.33525</v>
          </cell>
          <cell r="K71">
            <v>177.70499999999998</v>
          </cell>
          <cell r="L71">
            <v>195.47549999999998</v>
          </cell>
          <cell r="M71">
            <v>167.83249999999998</v>
          </cell>
          <cell r="Q71">
            <v>0.1</v>
          </cell>
          <cell r="R71" t="str">
            <v>SORELLA
BLACK OUT</v>
          </cell>
        </row>
        <row r="72">
          <cell r="A72" t="str">
            <v>CANNOLI</v>
          </cell>
          <cell r="H72">
            <v>284.89999999999998</v>
          </cell>
          <cell r="I72">
            <v>270.65499999999997</v>
          </cell>
          <cell r="J72">
            <v>297.72050000000002</v>
          </cell>
          <cell r="K72">
            <v>256.40999999999997</v>
          </cell>
          <cell r="L72">
            <v>282.05099999999999</v>
          </cell>
          <cell r="M72">
            <v>242.16499999999999</v>
          </cell>
          <cell r="Q72">
            <v>0.1</v>
          </cell>
          <cell r="R72" t="str">
            <v>NOVATEX</v>
          </cell>
        </row>
        <row r="73">
          <cell r="A73" t="str">
            <v>CANTERBURY</v>
          </cell>
          <cell r="H73">
            <v>405.9</v>
          </cell>
          <cell r="I73">
            <v>385.60499999999996</v>
          </cell>
          <cell r="J73">
            <v>424.16550000000001</v>
          </cell>
          <cell r="K73">
            <v>365.30999999999995</v>
          </cell>
          <cell r="L73">
            <v>401.84099999999995</v>
          </cell>
          <cell r="M73">
            <v>345.01499999999999</v>
          </cell>
          <cell r="Q73">
            <v>0.1</v>
          </cell>
          <cell r="R73"/>
        </row>
        <row r="74">
          <cell r="A74" t="str">
            <v>CANVAS</v>
          </cell>
          <cell r="H74">
            <v>64.272999999999996</v>
          </cell>
          <cell r="I74">
            <v>61.059349999999995</v>
          </cell>
          <cell r="J74">
            <v>67.165284999999997</v>
          </cell>
          <cell r="K74">
            <v>57.845699999999994</v>
          </cell>
          <cell r="L74">
            <v>63.630269999999996</v>
          </cell>
          <cell r="M74">
            <v>54.63205</v>
          </cell>
          <cell r="Q74">
            <v>0.1</v>
          </cell>
          <cell r="R74" t="str">
            <v>DESC</v>
          </cell>
        </row>
        <row r="75">
          <cell r="A75" t="str">
            <v>CAPADOCIA</v>
          </cell>
          <cell r="H75">
            <v>459.99799999999999</v>
          </cell>
          <cell r="I75">
            <v>436.99809999999997</v>
          </cell>
          <cell r="J75">
            <v>480.69790999999998</v>
          </cell>
          <cell r="K75">
            <v>413.9982</v>
          </cell>
          <cell r="L75">
            <v>455.39801999999997</v>
          </cell>
          <cell r="M75">
            <v>390.99829999999997</v>
          </cell>
          <cell r="Q75">
            <v>0.1</v>
          </cell>
          <cell r="R75"/>
        </row>
        <row r="76">
          <cell r="A76" t="str">
            <v>CAROSELLO</v>
          </cell>
          <cell r="H76">
            <v>277.09000000000003</v>
          </cell>
          <cell r="I76">
            <v>263.2355</v>
          </cell>
          <cell r="J76">
            <v>289.55905000000001</v>
          </cell>
          <cell r="K76">
            <v>249.38100000000003</v>
          </cell>
          <cell r="L76">
            <v>274.31910000000005</v>
          </cell>
          <cell r="M76">
            <v>235.52650000000003</v>
          </cell>
          <cell r="Q76">
            <v>0.1</v>
          </cell>
          <cell r="R76" t="str">
            <v>NOVATEX</v>
          </cell>
        </row>
        <row r="77">
          <cell r="A77" t="str">
            <v>CASCIA</v>
          </cell>
          <cell r="H77">
            <v>141.9</v>
          </cell>
          <cell r="I77">
            <v>134.80500000000001</v>
          </cell>
          <cell r="J77">
            <v>148.28550000000001</v>
          </cell>
          <cell r="K77">
            <v>127.71000000000001</v>
          </cell>
          <cell r="L77">
            <v>140.48099999999999</v>
          </cell>
          <cell r="M77">
            <v>120.61500000000001</v>
          </cell>
          <cell r="Q77">
            <v>0.1</v>
          </cell>
          <cell r="R77" t="str">
            <v>NOVATEX</v>
          </cell>
        </row>
        <row r="78">
          <cell r="A78" t="str">
            <v>CASEY</v>
          </cell>
          <cell r="H78">
            <v>197.45</v>
          </cell>
          <cell r="I78">
            <v>187.57749999999999</v>
          </cell>
          <cell r="J78">
            <v>206.33525</v>
          </cell>
          <cell r="K78">
            <v>177.70499999999998</v>
          </cell>
          <cell r="L78">
            <v>195.47549999999998</v>
          </cell>
          <cell r="M78">
            <v>167.83249999999998</v>
          </cell>
          <cell r="Q78">
            <v>0.1</v>
          </cell>
          <cell r="R78"/>
        </row>
        <row r="79">
          <cell r="A79" t="str">
            <v>CASSIS</v>
          </cell>
          <cell r="H79">
            <v>97.9</v>
          </cell>
          <cell r="I79">
            <v>93.00500000000001</v>
          </cell>
          <cell r="J79">
            <v>102.30550000000002</v>
          </cell>
          <cell r="K79">
            <v>88.11</v>
          </cell>
          <cell r="L79">
            <v>96.920999999999992</v>
          </cell>
          <cell r="M79">
            <v>83.215000000000003</v>
          </cell>
          <cell r="Q79">
            <v>0.1</v>
          </cell>
          <cell r="R79" t="str">
            <v>LONG LIFE
FEB 2026</v>
          </cell>
        </row>
        <row r="80">
          <cell r="A80" t="str">
            <v>CELESTIAL</v>
          </cell>
          <cell r="H80">
            <v>464.32100000000003</v>
          </cell>
          <cell r="I80">
            <v>441.10495000000003</v>
          </cell>
          <cell r="J80">
            <v>485.21544500000005</v>
          </cell>
          <cell r="K80">
            <v>417.88890000000004</v>
          </cell>
          <cell r="L80">
            <v>459.67779000000007</v>
          </cell>
          <cell r="M80">
            <v>394.67285000000004</v>
          </cell>
          <cell r="Q80">
            <v>0.1</v>
          </cell>
          <cell r="R80"/>
        </row>
        <row r="81">
          <cell r="A81" t="str">
            <v>CHAIMA</v>
          </cell>
          <cell r="H81">
            <v>603.9</v>
          </cell>
          <cell r="I81">
            <v>573.70499999999993</v>
          </cell>
          <cell r="J81">
            <v>631.07549999999992</v>
          </cell>
          <cell r="K81">
            <v>543.51</v>
          </cell>
          <cell r="L81">
            <v>597.86099999999999</v>
          </cell>
          <cell r="M81">
            <v>513.31499999999994</v>
          </cell>
          <cell r="Q81">
            <v>0.1</v>
          </cell>
          <cell r="R81"/>
        </row>
        <row r="82">
          <cell r="A82" t="str">
            <v>CHARLIE</v>
          </cell>
          <cell r="H82">
            <v>286</v>
          </cell>
          <cell r="I82">
            <v>271.7</v>
          </cell>
          <cell r="J82">
            <v>298.87</v>
          </cell>
          <cell r="K82">
            <v>257.39999999999998</v>
          </cell>
          <cell r="L82">
            <v>283.14</v>
          </cell>
          <cell r="M82">
            <v>243.1</v>
          </cell>
          <cell r="Q82">
            <v>0.1</v>
          </cell>
          <cell r="R82" t="str">
            <v>DESC</v>
          </cell>
        </row>
        <row r="83">
          <cell r="A83" t="str">
            <v>CHECK</v>
          </cell>
          <cell r="H83">
            <v>248.875</v>
          </cell>
          <cell r="I83">
            <v>236.43125000000001</v>
          </cell>
          <cell r="J83">
            <v>260.07437500000003</v>
          </cell>
          <cell r="K83">
            <v>223.98750000000001</v>
          </cell>
          <cell r="L83">
            <v>246.38625000000002</v>
          </cell>
          <cell r="M83">
            <v>211.54374999999999</v>
          </cell>
          <cell r="Q83">
            <v>0.1</v>
          </cell>
          <cell r="R83"/>
        </row>
        <row r="84">
          <cell r="A84" t="str">
            <v>CHRONO</v>
          </cell>
          <cell r="H84">
            <v>172.04000000000002</v>
          </cell>
          <cell r="I84">
            <v>163.43800000000002</v>
          </cell>
          <cell r="J84">
            <v>179.78180000000003</v>
          </cell>
          <cell r="K84">
            <v>154.83600000000001</v>
          </cell>
          <cell r="L84">
            <v>170.31960000000001</v>
          </cell>
          <cell r="M84">
            <v>146.23400000000001</v>
          </cell>
          <cell r="Q84">
            <v>0.1</v>
          </cell>
          <cell r="R84"/>
        </row>
        <row r="85">
          <cell r="A85" t="str">
            <v>CIGAR</v>
          </cell>
          <cell r="H85">
            <v>383.9</v>
          </cell>
          <cell r="I85">
            <v>364.70499999999998</v>
          </cell>
          <cell r="J85">
            <v>401.1755</v>
          </cell>
          <cell r="K85">
            <v>345.51</v>
          </cell>
          <cell r="L85">
            <v>380.06099999999998</v>
          </cell>
          <cell r="M85">
            <v>326.315</v>
          </cell>
          <cell r="Q85">
            <v>0.1</v>
          </cell>
          <cell r="R85"/>
        </row>
        <row r="86">
          <cell r="A86" t="str">
            <v>CLARA</v>
          </cell>
          <cell r="H86">
            <v>252.45</v>
          </cell>
          <cell r="I86">
            <v>239.82749999999999</v>
          </cell>
          <cell r="J86">
            <v>263.81025</v>
          </cell>
          <cell r="K86">
            <v>227.20499999999998</v>
          </cell>
          <cell r="L86">
            <v>249.9255</v>
          </cell>
          <cell r="M86">
            <v>214.58249999999998</v>
          </cell>
          <cell r="Q86">
            <v>0.1</v>
          </cell>
          <cell r="R86" t="str">
            <v>SORELLA
SHEER</v>
          </cell>
        </row>
        <row r="87">
          <cell r="A87" t="str">
            <v>CLARITY</v>
          </cell>
          <cell r="H87">
            <v>64.988</v>
          </cell>
          <cell r="I87">
            <v>61.738599999999998</v>
          </cell>
          <cell r="J87">
            <v>67.91246000000001</v>
          </cell>
          <cell r="K87">
            <v>58.489199999999997</v>
          </cell>
          <cell r="L87">
            <v>64.338120000000004</v>
          </cell>
          <cell r="M87">
            <v>55.239800000000002</v>
          </cell>
          <cell r="Q87">
            <v>0.1</v>
          </cell>
          <cell r="R87" t="str">
            <v>DESC</v>
          </cell>
        </row>
        <row r="88">
          <cell r="A88" t="str">
            <v>COBRA</v>
          </cell>
          <cell r="H88">
            <v>471.97500000000002</v>
          </cell>
          <cell r="I88">
            <v>448.37625000000003</v>
          </cell>
          <cell r="J88">
            <v>493.21387500000009</v>
          </cell>
          <cell r="K88">
            <v>424.77750000000003</v>
          </cell>
          <cell r="L88">
            <v>467.25525000000005</v>
          </cell>
          <cell r="M88">
            <v>401.17875000000004</v>
          </cell>
          <cell r="Q88">
            <v>0.05</v>
          </cell>
          <cell r="R88" t="str">
            <v>REVOLUTION</v>
          </cell>
        </row>
        <row r="89">
          <cell r="A89" t="str">
            <v>COLLETE</v>
          </cell>
          <cell r="H89">
            <v>208.95</v>
          </cell>
          <cell r="I89">
            <v>198.5025</v>
          </cell>
          <cell r="J89">
            <v>218.35275000000001</v>
          </cell>
          <cell r="K89">
            <v>188.05499999999998</v>
          </cell>
          <cell r="L89">
            <v>206.86049999999997</v>
          </cell>
          <cell r="M89">
            <v>177.60749999999999</v>
          </cell>
          <cell r="Q89">
            <v>0.05</v>
          </cell>
          <cell r="R89" t="str">
            <v>REVOLUTION</v>
          </cell>
        </row>
        <row r="90">
          <cell r="A90" t="str">
            <v>COPENHAGEN</v>
          </cell>
          <cell r="H90">
            <v>241.45</v>
          </cell>
          <cell r="I90">
            <v>229.3775</v>
          </cell>
          <cell r="J90">
            <v>252.31525000000002</v>
          </cell>
          <cell r="K90">
            <v>217.30499999999998</v>
          </cell>
          <cell r="L90">
            <v>239.03549999999998</v>
          </cell>
          <cell r="M90">
            <v>205.23249999999999</v>
          </cell>
          <cell r="Q90">
            <v>0.1</v>
          </cell>
          <cell r="R90"/>
        </row>
        <row r="91">
          <cell r="A91" t="str">
            <v>CORA</v>
          </cell>
          <cell r="H91">
            <v>128.887</v>
          </cell>
          <cell r="I91">
            <v>122.44265</v>
          </cell>
          <cell r="J91">
            <v>134.686915</v>
          </cell>
          <cell r="K91">
            <v>115.9983</v>
          </cell>
          <cell r="L91">
            <v>127.59813</v>
          </cell>
          <cell r="M91">
            <v>109.55395</v>
          </cell>
          <cell r="Q91">
            <v>0.1</v>
          </cell>
          <cell r="R91" t="str">
            <v>SORELLA
SHEER</v>
          </cell>
        </row>
        <row r="92">
          <cell r="A92" t="str">
            <v>CORBETT</v>
          </cell>
          <cell r="H92">
            <v>341.74799999999999</v>
          </cell>
          <cell r="I92">
            <v>324.66059999999999</v>
          </cell>
          <cell r="J92">
            <v>357.12666000000002</v>
          </cell>
          <cell r="K92">
            <v>307.57319999999999</v>
          </cell>
          <cell r="L92">
            <v>338.33051999999998</v>
          </cell>
          <cell r="M92">
            <v>290.48579999999998</v>
          </cell>
          <cell r="Q92">
            <v>0.1</v>
          </cell>
          <cell r="R92"/>
        </row>
        <row r="93">
          <cell r="A93" t="str">
            <v>CORSICA</v>
          </cell>
          <cell r="H93">
            <v>285.45</v>
          </cell>
          <cell r="I93">
            <v>271.17750000000001</v>
          </cell>
          <cell r="J93">
            <v>298.29525000000001</v>
          </cell>
          <cell r="K93">
            <v>256.90499999999997</v>
          </cell>
          <cell r="L93">
            <v>282.59549999999996</v>
          </cell>
          <cell r="M93">
            <v>242.63249999999999</v>
          </cell>
          <cell r="Q93">
            <v>0.1</v>
          </cell>
          <cell r="R93"/>
        </row>
        <row r="94">
          <cell r="A94" t="str">
            <v>COSMO</v>
          </cell>
          <cell r="H94">
            <v>85.05</v>
          </cell>
          <cell r="I94">
            <v>80.797499999999999</v>
          </cell>
          <cell r="J94">
            <v>88.877250000000004</v>
          </cell>
          <cell r="K94">
            <v>76.545000000000002</v>
          </cell>
          <cell r="L94">
            <v>84.1995</v>
          </cell>
          <cell r="M94">
            <v>72.292500000000004</v>
          </cell>
          <cell r="Q94">
            <v>0</v>
          </cell>
          <cell r="R94" t="str">
            <v>WATER 
REPELLENT</v>
          </cell>
        </row>
        <row r="95">
          <cell r="A95" t="str">
            <v>COSSE</v>
          </cell>
          <cell r="H95">
            <v>328.9</v>
          </cell>
          <cell r="I95">
            <v>312.45499999999998</v>
          </cell>
          <cell r="J95">
            <v>343.70050000000003</v>
          </cell>
          <cell r="K95">
            <v>296.01</v>
          </cell>
          <cell r="L95">
            <v>325.61099999999999</v>
          </cell>
          <cell r="M95">
            <v>279.565</v>
          </cell>
          <cell r="Q95">
            <v>0.1</v>
          </cell>
          <cell r="R95"/>
        </row>
        <row r="96">
          <cell r="A96" t="str">
            <v>COUNTRY</v>
          </cell>
          <cell r="H96">
            <v>334.95</v>
          </cell>
          <cell r="I96">
            <v>318.20249999999999</v>
          </cell>
          <cell r="J96">
            <v>350.02275000000003</v>
          </cell>
          <cell r="K96">
            <v>301.45499999999998</v>
          </cell>
          <cell r="L96">
            <v>331.60050000000001</v>
          </cell>
          <cell r="M96">
            <v>284.70749999999998</v>
          </cell>
          <cell r="Q96">
            <v>0.05</v>
          </cell>
          <cell r="R96" t="str">
            <v>REVOLUTION</v>
          </cell>
        </row>
        <row r="97">
          <cell r="A97" t="str">
            <v>COZY</v>
          </cell>
          <cell r="H97">
            <v>99</v>
          </cell>
          <cell r="I97">
            <v>94.05</v>
          </cell>
          <cell r="J97">
            <v>103.455</v>
          </cell>
          <cell r="K97">
            <v>89.1</v>
          </cell>
          <cell r="L97">
            <v>98.009999999999991</v>
          </cell>
          <cell r="M97">
            <v>84.15</v>
          </cell>
          <cell r="Q97">
            <v>0</v>
          </cell>
          <cell r="R97"/>
        </row>
        <row r="98">
          <cell r="A98" t="str">
            <v>CULLEN</v>
          </cell>
          <cell r="H98">
            <v>334.95</v>
          </cell>
          <cell r="I98">
            <v>318.20249999999999</v>
          </cell>
          <cell r="J98">
            <v>350.02275000000003</v>
          </cell>
          <cell r="K98">
            <v>301.45499999999998</v>
          </cell>
          <cell r="L98">
            <v>331.60050000000001</v>
          </cell>
          <cell r="M98">
            <v>284.70749999999998</v>
          </cell>
          <cell r="Q98">
            <v>0.05</v>
          </cell>
          <cell r="R98" t="str">
            <v>REVOLUTION</v>
          </cell>
        </row>
        <row r="99">
          <cell r="A99" t="str">
            <v>CURLY</v>
          </cell>
          <cell r="H99">
            <v>399</v>
          </cell>
          <cell r="I99">
            <v>379.05</v>
          </cell>
          <cell r="J99">
            <v>416.95500000000004</v>
          </cell>
          <cell r="K99">
            <v>359.1</v>
          </cell>
          <cell r="L99">
            <v>395.01000000000005</v>
          </cell>
          <cell r="M99">
            <v>339.15</v>
          </cell>
          <cell r="Q99">
            <v>0</v>
          </cell>
          <cell r="R99" t="str">
            <v>REVOLUTION</v>
          </cell>
        </row>
        <row r="100">
          <cell r="A100" t="str">
            <v>DASH</v>
          </cell>
          <cell r="H100">
            <v>163.9</v>
          </cell>
          <cell r="I100">
            <v>155.70500000000001</v>
          </cell>
          <cell r="J100">
            <v>171.27550000000002</v>
          </cell>
          <cell r="K100">
            <v>147.51</v>
          </cell>
          <cell r="L100">
            <v>162.261</v>
          </cell>
          <cell r="M100">
            <v>139.315</v>
          </cell>
          <cell r="Q100">
            <v>0.1</v>
          </cell>
          <cell r="R100"/>
        </row>
        <row r="101">
          <cell r="A101" t="str">
            <v>DAVENPORT</v>
          </cell>
          <cell r="H101">
            <v>240.24</v>
          </cell>
          <cell r="I101">
            <v>228.22800000000001</v>
          </cell>
          <cell r="J101">
            <v>251.05080000000004</v>
          </cell>
          <cell r="K101">
            <v>216.21600000000001</v>
          </cell>
          <cell r="L101">
            <v>237.83760000000001</v>
          </cell>
          <cell r="M101">
            <v>204.20400000000001</v>
          </cell>
          <cell r="Q101">
            <v>0.1</v>
          </cell>
          <cell r="R101" t="str">
            <v>DESC</v>
          </cell>
        </row>
        <row r="102">
          <cell r="A102" t="str">
            <v>DAYO</v>
          </cell>
          <cell r="H102">
            <v>503.52499999999998</v>
          </cell>
          <cell r="I102">
            <v>478.34875</v>
          </cell>
          <cell r="J102">
            <v>526.18362500000001</v>
          </cell>
          <cell r="K102">
            <v>453.17249999999996</v>
          </cell>
          <cell r="L102">
            <v>498.48974999999996</v>
          </cell>
          <cell r="M102">
            <v>427.99624999999997</v>
          </cell>
          <cell r="Q102">
            <v>0.1</v>
          </cell>
          <cell r="R102" t="str">
            <v>DESC</v>
          </cell>
        </row>
        <row r="103">
          <cell r="A103" t="str">
            <v>DAZZLE</v>
          </cell>
          <cell r="H103">
            <v>82.95</v>
          </cell>
          <cell r="I103">
            <v>78.802500000000009</v>
          </cell>
          <cell r="J103">
            <v>86.682750000000013</v>
          </cell>
          <cell r="K103">
            <v>74.655000000000001</v>
          </cell>
          <cell r="L103">
            <v>82.120500000000007</v>
          </cell>
          <cell r="M103">
            <v>70.507500000000007</v>
          </cell>
          <cell r="Q103">
            <v>0.05</v>
          </cell>
          <cell r="R103"/>
        </row>
        <row r="104">
          <cell r="A104" t="str">
            <v>DEITY</v>
          </cell>
          <cell r="H104">
            <v>464.23299999999995</v>
          </cell>
          <cell r="I104">
            <v>441.02134999999993</v>
          </cell>
          <cell r="J104">
            <v>485.12348499999996</v>
          </cell>
          <cell r="K104">
            <v>417.80969999999996</v>
          </cell>
          <cell r="L104">
            <v>459.59066999999993</v>
          </cell>
          <cell r="M104">
            <v>394.59804999999994</v>
          </cell>
          <cell r="Q104">
            <v>0.1</v>
          </cell>
          <cell r="R104" t="str">
            <v>DESC</v>
          </cell>
        </row>
        <row r="105">
          <cell r="A105" t="str">
            <v>DELUXE</v>
          </cell>
          <cell r="H105">
            <v>76.45</v>
          </cell>
          <cell r="I105">
            <v>72.627499999999998</v>
          </cell>
          <cell r="J105">
            <v>79.890250000000009</v>
          </cell>
          <cell r="K105">
            <v>68.805000000000007</v>
          </cell>
          <cell r="L105">
            <v>75.685500000000005</v>
          </cell>
          <cell r="M105">
            <v>64.982500000000002</v>
          </cell>
          <cell r="Q105">
            <v>0.1</v>
          </cell>
          <cell r="R105"/>
        </row>
        <row r="106">
          <cell r="A106" t="str">
            <v>DENVER</v>
          </cell>
          <cell r="H106">
            <v>329.45</v>
          </cell>
          <cell r="I106">
            <v>312.97749999999996</v>
          </cell>
          <cell r="J106">
            <v>344.27524999999997</v>
          </cell>
          <cell r="K106">
            <v>296.505</v>
          </cell>
          <cell r="L106">
            <v>326.15550000000002</v>
          </cell>
          <cell r="M106">
            <v>280.03249999999997</v>
          </cell>
          <cell r="Q106">
            <v>0.1</v>
          </cell>
          <cell r="R106"/>
        </row>
        <row r="107">
          <cell r="A107" t="str">
            <v>DIANA</v>
          </cell>
          <cell r="H107">
            <v>240.9</v>
          </cell>
          <cell r="I107">
            <v>228.85500000000002</v>
          </cell>
          <cell r="J107">
            <v>251.74050000000005</v>
          </cell>
          <cell r="K107">
            <v>216.81</v>
          </cell>
          <cell r="L107">
            <v>238.49100000000001</v>
          </cell>
          <cell r="M107">
            <v>204.76500000000001</v>
          </cell>
          <cell r="Q107">
            <v>0.1</v>
          </cell>
          <cell r="R107" t="str">
            <v>SORELLA
SHEER</v>
          </cell>
        </row>
        <row r="108">
          <cell r="A108" t="str">
            <v>DISTRACTION</v>
          </cell>
          <cell r="H108">
            <v>177.94</v>
          </cell>
          <cell r="I108">
            <v>169.04300000000001</v>
          </cell>
          <cell r="J108">
            <v>185.94730000000001</v>
          </cell>
          <cell r="K108">
            <v>160.14599999999999</v>
          </cell>
          <cell r="L108">
            <v>176.16059999999999</v>
          </cell>
          <cell r="M108">
            <v>151.249</v>
          </cell>
          <cell r="Q108">
            <v>0</v>
          </cell>
          <cell r="R108" t="str">
            <v>REVOLUTION</v>
          </cell>
        </row>
        <row r="109">
          <cell r="A109" t="str">
            <v xml:space="preserve">DIVER </v>
          </cell>
          <cell r="H109">
            <v>746.9</v>
          </cell>
          <cell r="I109">
            <v>709.55499999999995</v>
          </cell>
          <cell r="J109">
            <v>780.51049999999998</v>
          </cell>
          <cell r="K109">
            <v>672.21</v>
          </cell>
          <cell r="L109">
            <v>739.43100000000004</v>
          </cell>
          <cell r="M109">
            <v>634.86500000000001</v>
          </cell>
          <cell r="Q109">
            <v>0.1</v>
          </cell>
          <cell r="R109" t="str">
            <v>SUNBELIEVABLE</v>
          </cell>
        </row>
        <row r="110">
          <cell r="A110" t="str">
            <v>DOLCE</v>
          </cell>
          <cell r="H110">
            <v>174.9</v>
          </cell>
          <cell r="I110">
            <v>166.155</v>
          </cell>
          <cell r="J110">
            <v>182.77050000000003</v>
          </cell>
          <cell r="K110">
            <v>157.41</v>
          </cell>
          <cell r="L110">
            <v>173.15100000000001</v>
          </cell>
          <cell r="M110">
            <v>148.66500000000002</v>
          </cell>
          <cell r="Q110">
            <v>0.1</v>
          </cell>
          <cell r="R110" t="str">
            <v>NOVATEX
FEB 2026</v>
          </cell>
        </row>
        <row r="111">
          <cell r="A111" t="str">
            <v>DOLLY</v>
          </cell>
          <cell r="H111">
            <v>318.68099999999998</v>
          </cell>
          <cell r="I111">
            <v>302.74694999999997</v>
          </cell>
          <cell r="J111">
            <v>333.02164499999998</v>
          </cell>
          <cell r="K111">
            <v>286.81290000000001</v>
          </cell>
          <cell r="L111">
            <v>315.49419</v>
          </cell>
          <cell r="M111">
            <v>270.87885</v>
          </cell>
          <cell r="Q111">
            <v>0.1</v>
          </cell>
          <cell r="R111" t="str">
            <v>DESC</v>
          </cell>
        </row>
        <row r="112">
          <cell r="A112" t="str">
            <v>DONATELLO</v>
          </cell>
          <cell r="H112">
            <v>218.9</v>
          </cell>
          <cell r="I112">
            <v>207.95500000000001</v>
          </cell>
          <cell r="J112">
            <v>228.75050000000005</v>
          </cell>
          <cell r="K112">
            <v>197.01</v>
          </cell>
          <cell r="L112">
            <v>216.71099999999998</v>
          </cell>
          <cell r="M112">
            <v>186.065</v>
          </cell>
          <cell r="Q112">
            <v>0.1</v>
          </cell>
          <cell r="R112"/>
        </row>
        <row r="113">
          <cell r="A113" t="str">
            <v>DONNA</v>
          </cell>
          <cell r="H113">
            <v>433.84</v>
          </cell>
          <cell r="I113">
            <v>412.14799999999997</v>
          </cell>
          <cell r="J113">
            <v>453.36279999999999</v>
          </cell>
          <cell r="K113">
            <v>390.45599999999996</v>
          </cell>
          <cell r="L113">
            <v>429.50159999999994</v>
          </cell>
          <cell r="M113">
            <v>368.76400000000001</v>
          </cell>
          <cell r="Q113">
            <v>0.1</v>
          </cell>
          <cell r="R113" t="str">
            <v>NOVATEX</v>
          </cell>
        </row>
        <row r="114">
          <cell r="A114" t="str">
            <v>DOVERDALE</v>
          </cell>
          <cell r="H114">
            <v>360.86599999999999</v>
          </cell>
          <cell r="I114">
            <v>342.8227</v>
          </cell>
          <cell r="J114">
            <v>377.10497000000004</v>
          </cell>
          <cell r="K114">
            <v>324.77940000000001</v>
          </cell>
          <cell r="L114">
            <v>357.25734</v>
          </cell>
          <cell r="M114">
            <v>306.73609999999996</v>
          </cell>
          <cell r="Q114">
            <v>0.1</v>
          </cell>
          <cell r="R114" t="str">
            <v>DESC</v>
          </cell>
        </row>
        <row r="115">
          <cell r="A115" t="str">
            <v>DREAMY</v>
          </cell>
          <cell r="H115">
            <v>299.5</v>
          </cell>
          <cell r="I115">
            <v>284.52499999999998</v>
          </cell>
          <cell r="J115">
            <v>312.97750000000002</v>
          </cell>
          <cell r="K115">
            <v>269.55</v>
          </cell>
          <cell r="L115">
            <v>296.505</v>
          </cell>
          <cell r="M115">
            <v>254.57499999999999</v>
          </cell>
          <cell r="Q115">
            <v>0</v>
          </cell>
          <cell r="R115" t="str">
            <v>REVOLUTION</v>
          </cell>
        </row>
        <row r="116">
          <cell r="A116" t="str">
            <v>DRESSCODE</v>
          </cell>
          <cell r="H116">
            <v>361.9</v>
          </cell>
          <cell r="I116">
            <v>343.80499999999995</v>
          </cell>
          <cell r="J116">
            <v>378.18549999999999</v>
          </cell>
          <cell r="K116">
            <v>325.70999999999998</v>
          </cell>
          <cell r="L116">
            <v>358.28099999999995</v>
          </cell>
          <cell r="M116">
            <v>307.61500000000001</v>
          </cell>
          <cell r="Q116">
            <v>0.1</v>
          </cell>
          <cell r="R116"/>
        </row>
        <row r="117">
          <cell r="A117" t="str">
            <v>DRILL</v>
          </cell>
          <cell r="H117">
            <v>74.37</v>
          </cell>
          <cell r="I117">
            <v>70.651499999999999</v>
          </cell>
          <cell r="J117">
            <v>77.716650000000001</v>
          </cell>
          <cell r="K117">
            <v>66.933000000000007</v>
          </cell>
          <cell r="L117">
            <v>73.626300000000015</v>
          </cell>
          <cell r="M117">
            <v>63.214500000000001</v>
          </cell>
          <cell r="Q117">
            <v>0</v>
          </cell>
          <cell r="R117" t="str">
            <v>WATER 
REPELLENT</v>
          </cell>
        </row>
        <row r="118">
          <cell r="A118" t="str">
            <v>DUSK</v>
          </cell>
          <cell r="H118">
            <v>471.45</v>
          </cell>
          <cell r="I118">
            <v>447.8775</v>
          </cell>
          <cell r="J118">
            <v>492.66525000000001</v>
          </cell>
          <cell r="K118">
            <v>424.30500000000001</v>
          </cell>
          <cell r="L118">
            <v>466.7355</v>
          </cell>
          <cell r="M118">
            <v>400.73249999999996</v>
          </cell>
          <cell r="Q118">
            <v>0.05</v>
          </cell>
          <cell r="R118" t="str">
            <v>REVOLUTION</v>
          </cell>
        </row>
        <row r="119">
          <cell r="A119" t="str">
            <v>DUVAL</v>
          </cell>
          <cell r="H119">
            <v>117.07300000000001</v>
          </cell>
          <cell r="I119">
            <v>111.21935000000001</v>
          </cell>
          <cell r="J119">
            <v>122.34128500000001</v>
          </cell>
          <cell r="K119">
            <v>105.3657</v>
          </cell>
          <cell r="L119">
            <v>115.90227</v>
          </cell>
          <cell r="M119">
            <v>99.512050000000002</v>
          </cell>
          <cell r="Q119">
            <v>0.1</v>
          </cell>
          <cell r="R119"/>
        </row>
        <row r="120">
          <cell r="A120" t="str">
            <v>DYNAMIC</v>
          </cell>
          <cell r="H120">
            <v>97.9</v>
          </cell>
          <cell r="I120">
            <v>93.00500000000001</v>
          </cell>
          <cell r="J120">
            <v>102.30550000000002</v>
          </cell>
          <cell r="K120">
            <v>88.11</v>
          </cell>
          <cell r="L120">
            <v>96.920999999999992</v>
          </cell>
          <cell r="M120">
            <v>83.215000000000003</v>
          </cell>
          <cell r="Q120">
            <v>0.1</v>
          </cell>
          <cell r="R120"/>
        </row>
        <row r="121">
          <cell r="A121" t="str">
            <v>EAST POINT</v>
          </cell>
          <cell r="H121">
            <v>257.82</v>
          </cell>
          <cell r="I121">
            <v>244.929</v>
          </cell>
          <cell r="J121">
            <v>269.42190000000005</v>
          </cell>
          <cell r="K121">
            <v>232.03799999999998</v>
          </cell>
          <cell r="L121">
            <v>255.24179999999998</v>
          </cell>
          <cell r="M121">
            <v>219.14699999999999</v>
          </cell>
          <cell r="Q121">
            <v>0</v>
          </cell>
          <cell r="R121"/>
        </row>
        <row r="122">
          <cell r="A122" t="str">
            <v>ECLIPSE</v>
          </cell>
          <cell r="H122">
            <v>132.048</v>
          </cell>
          <cell r="I122">
            <v>125.4456</v>
          </cell>
          <cell r="J122">
            <v>137.99016</v>
          </cell>
          <cell r="K122">
            <v>118.8432</v>
          </cell>
          <cell r="L122">
            <v>130.72752</v>
          </cell>
          <cell r="M122">
            <v>112.24080000000001</v>
          </cell>
          <cell r="Q122">
            <v>0.05</v>
          </cell>
          <cell r="R122" t="str">
            <v>DESC</v>
          </cell>
        </row>
        <row r="123">
          <cell r="A123" t="str">
            <v>ELAN</v>
          </cell>
          <cell r="H123">
            <v>290.95</v>
          </cell>
          <cell r="I123">
            <v>276.40249999999997</v>
          </cell>
          <cell r="J123">
            <v>304.04275000000001</v>
          </cell>
          <cell r="K123">
            <v>261.85500000000002</v>
          </cell>
          <cell r="L123">
            <v>288.04050000000001</v>
          </cell>
          <cell r="M123">
            <v>247.3075</v>
          </cell>
          <cell r="Q123">
            <v>0.1</v>
          </cell>
          <cell r="R123" t="str">
            <v>DESC</v>
          </cell>
        </row>
        <row r="124">
          <cell r="A124" t="str">
            <v>ELEMENT</v>
          </cell>
          <cell r="H124">
            <v>70.95</v>
          </cell>
          <cell r="I124">
            <v>67.402500000000003</v>
          </cell>
          <cell r="J124">
            <v>74.142750000000007</v>
          </cell>
          <cell r="K124">
            <v>63.855000000000004</v>
          </cell>
          <cell r="L124">
            <v>70.240499999999997</v>
          </cell>
          <cell r="M124">
            <v>60.307500000000005</v>
          </cell>
          <cell r="Q124">
            <v>0.1</v>
          </cell>
          <cell r="R124" t="str">
            <v>DESC</v>
          </cell>
        </row>
        <row r="125">
          <cell r="A125" t="str">
            <v>ELISENDE</v>
          </cell>
          <cell r="H125">
            <v>510.334</v>
          </cell>
          <cell r="I125">
            <v>484.81729999999999</v>
          </cell>
          <cell r="J125">
            <v>533.29903000000002</v>
          </cell>
          <cell r="K125">
            <v>459.30060000000003</v>
          </cell>
          <cell r="L125">
            <v>505.23066000000006</v>
          </cell>
          <cell r="M125">
            <v>433.78390000000002</v>
          </cell>
          <cell r="Q125">
            <v>0.1</v>
          </cell>
          <cell r="R125" t="str">
            <v>DESC</v>
          </cell>
        </row>
        <row r="126">
          <cell r="A126" t="str">
            <v>ELITE</v>
          </cell>
          <cell r="H126">
            <v>101.12</v>
          </cell>
          <cell r="I126">
            <v>96.064000000000007</v>
          </cell>
          <cell r="J126">
            <v>105.67040000000001</v>
          </cell>
          <cell r="K126">
            <v>91.00800000000001</v>
          </cell>
          <cell r="L126">
            <v>100.10880000000002</v>
          </cell>
          <cell r="M126">
            <v>85.951999999999998</v>
          </cell>
          <cell r="Q126">
            <v>0</v>
          </cell>
          <cell r="R126" t="str">
            <v>WATER 
REPELLENT</v>
          </cell>
        </row>
        <row r="127">
          <cell r="A127" t="str">
            <v>EMILY</v>
          </cell>
          <cell r="H127">
            <v>175.45</v>
          </cell>
          <cell r="I127">
            <v>166.67749999999998</v>
          </cell>
          <cell r="J127">
            <v>183.34524999999999</v>
          </cell>
          <cell r="K127">
            <v>157.905</v>
          </cell>
          <cell r="L127">
            <v>173.69550000000001</v>
          </cell>
          <cell r="M127">
            <v>149.13249999999999</v>
          </cell>
          <cell r="Q127">
            <v>0.1</v>
          </cell>
          <cell r="R127" t="str">
            <v>SORELLA
BLACK OUT</v>
          </cell>
        </row>
        <row r="128">
          <cell r="A128" t="str">
            <v>EMILY DOUBLE</v>
          </cell>
          <cell r="H128">
            <v>372.9</v>
          </cell>
          <cell r="I128">
            <v>354.255</v>
          </cell>
          <cell r="J128">
            <v>389.68050000000005</v>
          </cell>
          <cell r="K128">
            <v>335.60999999999996</v>
          </cell>
          <cell r="L128">
            <v>369.17099999999994</v>
          </cell>
          <cell r="M128">
            <v>316.96499999999997</v>
          </cell>
          <cell r="Q128">
            <v>0.1</v>
          </cell>
          <cell r="R128" t="str">
            <v>SORELLA
BLACK OUT</v>
          </cell>
        </row>
        <row r="129">
          <cell r="A129" t="str">
            <v>EMMA</v>
          </cell>
          <cell r="H129">
            <v>128.887</v>
          </cell>
          <cell r="I129">
            <v>122.44265</v>
          </cell>
          <cell r="J129">
            <v>134.686915</v>
          </cell>
          <cell r="K129">
            <v>115.9983</v>
          </cell>
          <cell r="L129">
            <v>127.59813</v>
          </cell>
          <cell r="M129">
            <v>109.55395</v>
          </cell>
          <cell r="Q129">
            <v>0.1</v>
          </cell>
          <cell r="R129" t="str">
            <v>SORELLA
SHEER</v>
          </cell>
        </row>
        <row r="130">
          <cell r="A130" t="str">
            <v>ENIGMA</v>
          </cell>
          <cell r="H130">
            <v>87.45</v>
          </cell>
          <cell r="I130">
            <v>83.077500000000001</v>
          </cell>
          <cell r="J130">
            <v>91.385250000000013</v>
          </cell>
          <cell r="K130">
            <v>78.704999999999998</v>
          </cell>
          <cell r="L130">
            <v>86.575500000000005</v>
          </cell>
          <cell r="M130">
            <v>74.33250000000001</v>
          </cell>
          <cell r="Q130">
            <v>0.1</v>
          </cell>
          <cell r="R130" t="str">
            <v>DESC</v>
          </cell>
        </row>
        <row r="131">
          <cell r="A131" t="str">
            <v>ENORA</v>
          </cell>
          <cell r="H131">
            <v>72.974999999999994</v>
          </cell>
          <cell r="I131">
            <v>69.326249999999987</v>
          </cell>
          <cell r="J131">
            <v>76.258874999999989</v>
          </cell>
          <cell r="K131">
            <v>65.677499999999995</v>
          </cell>
          <cell r="L131">
            <v>72.245249999999999</v>
          </cell>
          <cell r="M131">
            <v>62.028749999999995</v>
          </cell>
          <cell r="Q131">
            <v>0.05</v>
          </cell>
          <cell r="R131"/>
        </row>
        <row r="132">
          <cell r="A132" t="str">
            <v xml:space="preserve">ENYA </v>
          </cell>
          <cell r="H132">
            <v>300.94899999999996</v>
          </cell>
          <cell r="I132">
            <v>285.90154999999993</v>
          </cell>
          <cell r="J132">
            <v>314.49170499999997</v>
          </cell>
          <cell r="K132">
            <v>270.85409999999996</v>
          </cell>
          <cell r="L132">
            <v>297.93950999999993</v>
          </cell>
          <cell r="M132">
            <v>255.80664999999996</v>
          </cell>
          <cell r="Q132">
            <v>0.1</v>
          </cell>
          <cell r="R132" t="str">
            <v>DESC</v>
          </cell>
        </row>
        <row r="133">
          <cell r="A133" t="str">
            <v>ESSA</v>
          </cell>
          <cell r="H133">
            <v>326.09499999999997</v>
          </cell>
          <cell r="I133">
            <v>309.79024999999996</v>
          </cell>
          <cell r="J133">
            <v>340.76927499999999</v>
          </cell>
          <cell r="K133">
            <v>293.4855</v>
          </cell>
          <cell r="L133">
            <v>322.83404999999999</v>
          </cell>
          <cell r="M133">
            <v>277.18074999999999</v>
          </cell>
          <cell r="Q133">
            <v>0.1</v>
          </cell>
          <cell r="R133" t="str">
            <v>DESC</v>
          </cell>
        </row>
        <row r="134">
          <cell r="A134" t="str">
            <v>EYELASH</v>
          </cell>
          <cell r="H134">
            <v>339.9</v>
          </cell>
          <cell r="I134">
            <v>322.90499999999997</v>
          </cell>
          <cell r="J134">
            <v>355.19549999999998</v>
          </cell>
          <cell r="K134">
            <v>305.90999999999997</v>
          </cell>
          <cell r="L134">
            <v>336.50099999999998</v>
          </cell>
          <cell r="M134">
            <v>288.91499999999996</v>
          </cell>
          <cell r="Q134">
            <v>0.1</v>
          </cell>
          <cell r="R134"/>
        </row>
        <row r="135">
          <cell r="A135" t="str">
            <v>FANCY</v>
          </cell>
          <cell r="H135">
            <v>93.3</v>
          </cell>
          <cell r="I135">
            <v>88.634999999999991</v>
          </cell>
          <cell r="J135">
            <v>97.498499999999993</v>
          </cell>
          <cell r="K135">
            <v>83.97</v>
          </cell>
          <cell r="L135">
            <v>92.367000000000004</v>
          </cell>
          <cell r="M135">
            <v>79.304999999999993</v>
          </cell>
          <cell r="Q135">
            <v>0</v>
          </cell>
          <cell r="R135"/>
        </row>
        <row r="136">
          <cell r="A136" t="str">
            <v>FARFALLA</v>
          </cell>
          <cell r="H136">
            <v>373.89</v>
          </cell>
          <cell r="I136">
            <v>355.19549999999998</v>
          </cell>
          <cell r="J136">
            <v>390.71505000000002</v>
          </cell>
          <cell r="K136">
            <v>336.50099999999998</v>
          </cell>
          <cell r="L136">
            <v>370.15109999999999</v>
          </cell>
          <cell r="M136">
            <v>317.80649999999997</v>
          </cell>
          <cell r="Q136">
            <v>0.1</v>
          </cell>
          <cell r="R136" t="str">
            <v>NOVATEX</v>
          </cell>
        </row>
        <row r="137">
          <cell r="A137" t="str">
            <v>FASHION</v>
          </cell>
          <cell r="H137">
            <v>103.95</v>
          </cell>
          <cell r="I137">
            <v>98.752499999999998</v>
          </cell>
          <cell r="J137">
            <v>108.62775000000001</v>
          </cell>
          <cell r="K137">
            <v>93.555000000000007</v>
          </cell>
          <cell r="L137">
            <v>102.91050000000001</v>
          </cell>
          <cell r="M137">
            <v>88.357500000000002</v>
          </cell>
          <cell r="Q137">
            <v>0.1</v>
          </cell>
          <cell r="R137" t="str">
            <v>WATER 
REPELLENT</v>
          </cell>
        </row>
        <row r="138">
          <cell r="A138" t="str">
            <v>FAVARA</v>
          </cell>
          <cell r="H138">
            <v>422.28999999999996</v>
          </cell>
          <cell r="I138">
            <v>401.17549999999994</v>
          </cell>
          <cell r="J138">
            <v>441.29304999999999</v>
          </cell>
          <cell r="K138">
            <v>380.06099999999998</v>
          </cell>
          <cell r="L138">
            <v>418.06709999999998</v>
          </cell>
          <cell r="M138">
            <v>358.94649999999996</v>
          </cell>
          <cell r="Q138">
            <v>0.1</v>
          </cell>
          <cell r="R138" t="str">
            <v>NOVATEX</v>
          </cell>
        </row>
        <row r="139">
          <cell r="A139" t="str">
            <v>FAVIA</v>
          </cell>
          <cell r="H139">
            <v>460.9</v>
          </cell>
          <cell r="I139">
            <v>437.85499999999996</v>
          </cell>
          <cell r="J139">
            <v>481.64049999999997</v>
          </cell>
          <cell r="K139">
            <v>414.80999999999995</v>
          </cell>
          <cell r="L139">
            <v>456.29099999999994</v>
          </cell>
          <cell r="M139">
            <v>391.76499999999999</v>
          </cell>
          <cell r="Q139">
            <v>0.1</v>
          </cell>
          <cell r="R139"/>
        </row>
        <row r="140">
          <cell r="A140" t="str">
            <v>FEATHER</v>
          </cell>
          <cell r="H140">
            <v>416.9</v>
          </cell>
          <cell r="I140">
            <v>396.05499999999995</v>
          </cell>
          <cell r="J140">
            <v>435.66049999999996</v>
          </cell>
          <cell r="K140">
            <v>375.21</v>
          </cell>
          <cell r="L140">
            <v>412.73099999999999</v>
          </cell>
          <cell r="M140">
            <v>354.36500000000001</v>
          </cell>
          <cell r="Q140">
            <v>0.1</v>
          </cell>
          <cell r="R140"/>
        </row>
        <row r="141">
          <cell r="A141" t="str">
            <v>FIDENZA</v>
          </cell>
          <cell r="H141">
            <v>328.9</v>
          </cell>
          <cell r="I141">
            <v>312.45499999999998</v>
          </cell>
          <cell r="J141">
            <v>343.70050000000003</v>
          </cell>
          <cell r="K141">
            <v>296.01</v>
          </cell>
          <cell r="L141">
            <v>325.61099999999999</v>
          </cell>
          <cell r="M141">
            <v>279.565</v>
          </cell>
          <cell r="Q141">
            <v>0.1</v>
          </cell>
          <cell r="R141" t="str">
            <v>NOVATEX</v>
          </cell>
        </row>
        <row r="142">
          <cell r="A142" t="str">
            <v>FIORA</v>
          </cell>
          <cell r="H142">
            <v>84.5</v>
          </cell>
          <cell r="I142">
            <v>80.275000000000006</v>
          </cell>
          <cell r="J142">
            <v>88.302500000000009</v>
          </cell>
          <cell r="K142">
            <v>76.05</v>
          </cell>
          <cell r="L142">
            <v>83.655000000000001</v>
          </cell>
          <cell r="M142">
            <v>71.825000000000003</v>
          </cell>
          <cell r="Q142">
            <v>0</v>
          </cell>
          <cell r="R142"/>
        </row>
        <row r="143">
          <cell r="A143" t="str">
            <v>FIUME</v>
          </cell>
          <cell r="H143">
            <v>240.9</v>
          </cell>
          <cell r="I143">
            <v>228.85500000000002</v>
          </cell>
          <cell r="J143">
            <v>251.74050000000005</v>
          </cell>
          <cell r="K143">
            <v>216.81</v>
          </cell>
          <cell r="L143">
            <v>238.49100000000001</v>
          </cell>
          <cell r="M143">
            <v>204.76500000000001</v>
          </cell>
          <cell r="Q143">
            <v>0.1</v>
          </cell>
          <cell r="R143" t="str">
            <v>NOVATEX</v>
          </cell>
        </row>
        <row r="144">
          <cell r="A144" t="str">
            <v>FLAGSTAFF</v>
          </cell>
          <cell r="H144">
            <v>229.9</v>
          </cell>
          <cell r="I144">
            <v>218.405</v>
          </cell>
          <cell r="J144">
            <v>240.24550000000002</v>
          </cell>
          <cell r="K144">
            <v>206.91</v>
          </cell>
          <cell r="L144">
            <v>227.601</v>
          </cell>
          <cell r="M144">
            <v>195.41500000000002</v>
          </cell>
          <cell r="Q144">
            <v>0.1</v>
          </cell>
          <cell r="R144"/>
        </row>
        <row r="145">
          <cell r="A145" t="str">
            <v>FLEUR *(ECL)</v>
          </cell>
          <cell r="H145">
            <v>434.35700000000003</v>
          </cell>
          <cell r="I145">
            <v>412.63915000000003</v>
          </cell>
          <cell r="J145">
            <v>453.90306500000008</v>
          </cell>
          <cell r="K145">
            <v>390.92130000000003</v>
          </cell>
          <cell r="L145">
            <v>430.01343000000003</v>
          </cell>
          <cell r="M145">
            <v>369.20345000000003</v>
          </cell>
          <cell r="Q145">
            <v>0.1</v>
          </cell>
          <cell r="R145" t="str">
            <v>DESC</v>
          </cell>
        </row>
        <row r="146">
          <cell r="A146" t="str">
            <v>FLY</v>
          </cell>
          <cell r="H146">
            <v>141.9</v>
          </cell>
          <cell r="I146">
            <v>134.80500000000001</v>
          </cell>
          <cell r="J146">
            <v>148.28550000000001</v>
          </cell>
          <cell r="K146">
            <v>127.71000000000001</v>
          </cell>
          <cell r="L146">
            <v>140.48099999999999</v>
          </cell>
          <cell r="M146">
            <v>120.61500000000001</v>
          </cell>
          <cell r="Q146">
            <v>0.1</v>
          </cell>
          <cell r="R146"/>
        </row>
        <row r="147">
          <cell r="A147" t="str">
            <v>FOOTPATH</v>
          </cell>
          <cell r="H147">
            <v>468.40199999999999</v>
          </cell>
          <cell r="I147">
            <v>444.9819</v>
          </cell>
          <cell r="J147">
            <v>489.48009000000002</v>
          </cell>
          <cell r="K147">
            <v>421.56180000000001</v>
          </cell>
          <cell r="L147">
            <v>463.71798000000001</v>
          </cell>
          <cell r="M147">
            <v>398.14170000000001</v>
          </cell>
          <cell r="Q147">
            <v>0.1</v>
          </cell>
          <cell r="R147" t="str">
            <v>DESC</v>
          </cell>
        </row>
        <row r="148">
          <cell r="A148" t="str">
            <v>FOREVER PLUS</v>
          </cell>
          <cell r="H148">
            <v>92.4</v>
          </cell>
          <cell r="I148">
            <v>87.78</v>
          </cell>
          <cell r="J148">
            <v>96.558000000000007</v>
          </cell>
          <cell r="K148">
            <v>83.160000000000011</v>
          </cell>
          <cell r="L148">
            <v>91.476000000000013</v>
          </cell>
          <cell r="M148">
            <v>78.540000000000006</v>
          </cell>
          <cell r="Q148">
            <v>0.1</v>
          </cell>
          <cell r="R148"/>
        </row>
        <row r="149">
          <cell r="A149" t="str">
            <v>FREEDOM</v>
          </cell>
          <cell r="H149">
            <v>98.504999999999995</v>
          </cell>
          <cell r="I149">
            <v>93.57974999999999</v>
          </cell>
          <cell r="J149">
            <v>102.937725</v>
          </cell>
          <cell r="K149">
            <v>88.654499999999999</v>
          </cell>
          <cell r="L149">
            <v>97.519949999999994</v>
          </cell>
          <cell r="M149">
            <v>83.729249999999993</v>
          </cell>
          <cell r="Q149">
            <v>0.1</v>
          </cell>
          <cell r="R149" t="str">
            <v>DESC</v>
          </cell>
        </row>
        <row r="150">
          <cell r="A150" t="str">
            <v>FREEPORT</v>
          </cell>
          <cell r="H150">
            <v>394.9</v>
          </cell>
          <cell r="I150">
            <v>375.15499999999997</v>
          </cell>
          <cell r="J150">
            <v>412.6705</v>
          </cell>
          <cell r="K150">
            <v>355.40999999999997</v>
          </cell>
          <cell r="L150">
            <v>390.95099999999996</v>
          </cell>
          <cell r="M150">
            <v>335.66499999999996</v>
          </cell>
          <cell r="Q150">
            <v>0.1</v>
          </cell>
          <cell r="R150"/>
        </row>
        <row r="151">
          <cell r="A151" t="str">
            <v>FRESH</v>
          </cell>
          <cell r="H151">
            <v>153.44999999999999</v>
          </cell>
          <cell r="I151">
            <v>145.77749999999997</v>
          </cell>
          <cell r="J151">
            <v>160.35524999999998</v>
          </cell>
          <cell r="K151">
            <v>138.10499999999999</v>
          </cell>
          <cell r="L151">
            <v>151.91549999999998</v>
          </cell>
          <cell r="M151">
            <v>130.4325</v>
          </cell>
          <cell r="Q151">
            <v>0.1</v>
          </cell>
          <cell r="R151"/>
        </row>
        <row r="152">
          <cell r="A152" t="str">
            <v>FRESNO</v>
          </cell>
          <cell r="H152">
            <v>189.5</v>
          </cell>
          <cell r="I152">
            <v>180.02500000000001</v>
          </cell>
          <cell r="J152">
            <v>198.02750000000003</v>
          </cell>
          <cell r="K152">
            <v>170.55</v>
          </cell>
          <cell r="L152">
            <v>187.60500000000002</v>
          </cell>
          <cell r="M152">
            <v>161.07499999999999</v>
          </cell>
          <cell r="Q152">
            <v>0</v>
          </cell>
          <cell r="R152"/>
        </row>
        <row r="153">
          <cell r="A153" t="str">
            <v>FRIDA</v>
          </cell>
          <cell r="H153">
            <v>208.45</v>
          </cell>
          <cell r="I153">
            <v>198.02749999999997</v>
          </cell>
          <cell r="J153">
            <v>217.83024999999998</v>
          </cell>
          <cell r="K153">
            <v>187.60499999999999</v>
          </cell>
          <cell r="L153">
            <v>206.3655</v>
          </cell>
          <cell r="M153">
            <v>177.1825</v>
          </cell>
          <cell r="Q153">
            <v>0.1</v>
          </cell>
          <cell r="R153" t="str">
            <v>SORELLA
SHEER</v>
          </cell>
        </row>
        <row r="154">
          <cell r="A154" t="str">
            <v xml:space="preserve">FURSONA </v>
          </cell>
          <cell r="H154">
            <v>273.89999999999998</v>
          </cell>
          <cell r="I154">
            <v>260.20499999999998</v>
          </cell>
          <cell r="J154">
            <v>286.22550000000001</v>
          </cell>
          <cell r="K154">
            <v>246.51</v>
          </cell>
          <cell r="L154">
            <v>271.161</v>
          </cell>
          <cell r="M154">
            <v>232.815</v>
          </cell>
          <cell r="Q154">
            <v>0.1</v>
          </cell>
          <cell r="R154" t="str">
            <v>FEB 2026</v>
          </cell>
        </row>
        <row r="155">
          <cell r="A155" t="str">
            <v>GALASSIA</v>
          </cell>
          <cell r="H155">
            <v>218.9</v>
          </cell>
          <cell r="I155">
            <v>207.95500000000001</v>
          </cell>
          <cell r="J155">
            <v>228.75050000000005</v>
          </cell>
          <cell r="K155">
            <v>197.01</v>
          </cell>
          <cell r="L155">
            <v>216.71099999999998</v>
          </cell>
          <cell r="M155">
            <v>186.065</v>
          </cell>
          <cell r="Q155">
            <v>0.1</v>
          </cell>
          <cell r="R155" t="str">
            <v>NOVATEX</v>
          </cell>
        </row>
        <row r="156">
          <cell r="A156" t="str">
            <v>GELLAR</v>
          </cell>
          <cell r="H156">
            <v>208.95</v>
          </cell>
          <cell r="I156">
            <v>198.5025</v>
          </cell>
          <cell r="J156">
            <v>218.35275000000001</v>
          </cell>
          <cell r="K156">
            <v>188.05499999999998</v>
          </cell>
          <cell r="L156">
            <v>206.86049999999997</v>
          </cell>
          <cell r="M156">
            <v>177.60749999999999</v>
          </cell>
          <cell r="Q156">
            <v>0.05</v>
          </cell>
          <cell r="R156"/>
        </row>
        <row r="157">
          <cell r="A157" t="str">
            <v>GENE</v>
          </cell>
          <cell r="H157">
            <v>318.18599999999998</v>
          </cell>
          <cell r="I157">
            <v>302.27670000000001</v>
          </cell>
          <cell r="J157">
            <v>332.50437000000005</v>
          </cell>
          <cell r="K157">
            <v>286.36739999999998</v>
          </cell>
          <cell r="L157">
            <v>315.00413999999995</v>
          </cell>
          <cell r="M157">
            <v>270.4581</v>
          </cell>
          <cell r="Q157">
            <v>0.1</v>
          </cell>
          <cell r="R157" t="str">
            <v>DESC</v>
          </cell>
        </row>
        <row r="158">
          <cell r="A158" t="str">
            <v>GENOVA</v>
          </cell>
          <cell r="H158">
            <v>191.95</v>
          </cell>
          <cell r="I158">
            <v>182.35249999999999</v>
          </cell>
          <cell r="J158">
            <v>200.58775</v>
          </cell>
          <cell r="K158">
            <v>172.755</v>
          </cell>
          <cell r="L158">
            <v>190.03049999999999</v>
          </cell>
          <cell r="M158">
            <v>163.1575</v>
          </cell>
          <cell r="Q158">
            <v>0.1</v>
          </cell>
          <cell r="R158"/>
        </row>
        <row r="159">
          <cell r="A159" t="str">
            <v>GEORGES</v>
          </cell>
          <cell r="H159">
            <v>229.9</v>
          </cell>
          <cell r="I159">
            <v>218.405</v>
          </cell>
          <cell r="J159">
            <v>240.24550000000002</v>
          </cell>
          <cell r="K159">
            <v>206.91</v>
          </cell>
          <cell r="L159">
            <v>227.601</v>
          </cell>
          <cell r="M159">
            <v>195.41500000000002</v>
          </cell>
          <cell r="Q159">
            <v>0.1</v>
          </cell>
          <cell r="R159"/>
        </row>
        <row r="160">
          <cell r="A160" t="str">
            <v>GIOVE</v>
          </cell>
          <cell r="H160">
            <v>251.9</v>
          </cell>
          <cell r="I160">
            <v>239.30500000000001</v>
          </cell>
          <cell r="J160">
            <v>263.2355</v>
          </cell>
          <cell r="K160">
            <v>226.71</v>
          </cell>
          <cell r="L160">
            <v>249.381</v>
          </cell>
          <cell r="M160">
            <v>214.11500000000001</v>
          </cell>
          <cell r="Q160">
            <v>0.1</v>
          </cell>
          <cell r="R160" t="str">
            <v>NOVATEX</v>
          </cell>
        </row>
        <row r="161">
          <cell r="A161" t="str">
            <v>GLOW</v>
          </cell>
          <cell r="H161">
            <v>114.45</v>
          </cell>
          <cell r="I161">
            <v>108.72750000000001</v>
          </cell>
          <cell r="J161">
            <v>119.60025000000002</v>
          </cell>
          <cell r="K161">
            <v>103.005</v>
          </cell>
          <cell r="L161">
            <v>113.30549999999999</v>
          </cell>
          <cell r="M161">
            <v>97.282499999999999</v>
          </cell>
          <cell r="Q161">
            <v>0.05</v>
          </cell>
          <cell r="R161"/>
        </row>
        <row r="162">
          <cell r="A162" t="str">
            <v>GRANOLA</v>
          </cell>
          <cell r="H162">
            <v>152.9</v>
          </cell>
          <cell r="I162">
            <v>145.255</v>
          </cell>
          <cell r="J162">
            <v>159.78050000000002</v>
          </cell>
          <cell r="K162">
            <v>137.61000000000001</v>
          </cell>
          <cell r="L162">
            <v>151.37100000000001</v>
          </cell>
          <cell r="M162">
            <v>129.965</v>
          </cell>
          <cell r="Q162">
            <v>0.1</v>
          </cell>
          <cell r="R162" t="str">
            <v>LONG LIFE
FEB 2026</v>
          </cell>
        </row>
        <row r="163">
          <cell r="A163" t="str">
            <v>GRASSROOTS</v>
          </cell>
          <cell r="H163">
            <v>185.9</v>
          </cell>
          <cell r="I163">
            <v>176.60500000000002</v>
          </cell>
          <cell r="J163">
            <v>194.26550000000003</v>
          </cell>
          <cell r="K163">
            <v>167.31</v>
          </cell>
          <cell r="L163">
            <v>184.041</v>
          </cell>
          <cell r="M163">
            <v>158.01500000000001</v>
          </cell>
          <cell r="Q163">
            <v>0.1</v>
          </cell>
          <cell r="R163"/>
        </row>
        <row r="164">
          <cell r="A164" t="str">
            <v>HADY</v>
          </cell>
          <cell r="H164">
            <v>128.898</v>
          </cell>
          <cell r="I164">
            <v>122.45309999999999</v>
          </cell>
          <cell r="J164">
            <v>134.69841</v>
          </cell>
          <cell r="K164">
            <v>116.00819999999999</v>
          </cell>
          <cell r="L164">
            <v>127.60901999999999</v>
          </cell>
          <cell r="M164">
            <v>109.5633</v>
          </cell>
          <cell r="Q164">
            <v>0.1</v>
          </cell>
          <cell r="R164" t="str">
            <v>LONG LIFE
FEB 2026</v>
          </cell>
        </row>
        <row r="165">
          <cell r="A165" t="str">
            <v>HAILEY</v>
          </cell>
          <cell r="H165">
            <v>208.95</v>
          </cell>
          <cell r="I165">
            <v>198.5025</v>
          </cell>
          <cell r="J165">
            <v>218.35275000000001</v>
          </cell>
          <cell r="K165">
            <v>188.05499999999998</v>
          </cell>
          <cell r="L165">
            <v>206.86049999999997</v>
          </cell>
          <cell r="M165">
            <v>177.60749999999999</v>
          </cell>
          <cell r="Q165">
            <v>0.05</v>
          </cell>
          <cell r="R165" t="str">
            <v>REVOLUTION
FEB 2026</v>
          </cell>
        </row>
        <row r="166">
          <cell r="A166" t="str">
            <v>HANG TEN</v>
          </cell>
          <cell r="H166">
            <v>306.89999999999998</v>
          </cell>
          <cell r="I166">
            <v>291.55499999999995</v>
          </cell>
          <cell r="J166">
            <v>320.71049999999997</v>
          </cell>
          <cell r="K166">
            <v>276.20999999999998</v>
          </cell>
          <cell r="L166">
            <v>303.83099999999996</v>
          </cell>
          <cell r="M166">
            <v>260.86500000000001</v>
          </cell>
          <cell r="Q166">
            <v>0.1</v>
          </cell>
          <cell r="R166" t="str">
            <v>SUNBELIEVABLE</v>
          </cell>
        </row>
        <row r="167">
          <cell r="A167" t="str">
            <v>HANK</v>
          </cell>
          <cell r="H167">
            <v>187.95</v>
          </cell>
          <cell r="I167">
            <v>178.55249999999998</v>
          </cell>
          <cell r="J167">
            <v>196.40774999999999</v>
          </cell>
          <cell r="K167">
            <v>169.155</v>
          </cell>
          <cell r="L167">
            <v>186.07050000000001</v>
          </cell>
          <cell r="M167">
            <v>159.75749999999999</v>
          </cell>
          <cell r="Q167">
            <v>0.05</v>
          </cell>
          <cell r="R167" t="str">
            <v xml:space="preserve">VINIL  </v>
          </cell>
        </row>
        <row r="168">
          <cell r="A168" t="str">
            <v>HARMONY</v>
          </cell>
          <cell r="H168">
            <v>69</v>
          </cell>
          <cell r="I168">
            <v>65.55</v>
          </cell>
          <cell r="J168">
            <v>72.105000000000004</v>
          </cell>
          <cell r="K168">
            <v>62.1</v>
          </cell>
          <cell r="L168">
            <v>68.31</v>
          </cell>
          <cell r="M168">
            <v>58.65</v>
          </cell>
          <cell r="Q168">
            <v>0</v>
          </cell>
          <cell r="R168"/>
        </row>
        <row r="169">
          <cell r="A169" t="str">
            <v>HEAVEN</v>
          </cell>
          <cell r="H169">
            <v>193.49</v>
          </cell>
          <cell r="I169">
            <v>183.81550000000001</v>
          </cell>
          <cell r="J169">
            <v>202.19705000000002</v>
          </cell>
          <cell r="K169">
            <v>174.14100000000002</v>
          </cell>
          <cell r="L169">
            <v>191.55510000000001</v>
          </cell>
          <cell r="M169">
            <v>164.4665</v>
          </cell>
          <cell r="Q169">
            <v>0.1</v>
          </cell>
          <cell r="R169" t="str">
            <v>DESC</v>
          </cell>
        </row>
        <row r="170">
          <cell r="A170" t="str">
            <v>HELSINKI</v>
          </cell>
          <cell r="H170">
            <v>141.30600000000001</v>
          </cell>
          <cell r="I170">
            <v>134.2407</v>
          </cell>
          <cell r="J170">
            <v>147.66477</v>
          </cell>
          <cell r="K170">
            <v>127.17540000000001</v>
          </cell>
          <cell r="L170">
            <v>139.89294000000001</v>
          </cell>
          <cell r="M170">
            <v>120.11010000000002</v>
          </cell>
          <cell r="Q170">
            <v>0.1</v>
          </cell>
          <cell r="R170"/>
        </row>
        <row r="171">
          <cell r="A171" t="str">
            <v>HIGH LIVING</v>
          </cell>
          <cell r="H171">
            <v>218.93299999999999</v>
          </cell>
          <cell r="I171">
            <v>207.98634999999999</v>
          </cell>
          <cell r="J171">
            <v>228.78498500000001</v>
          </cell>
          <cell r="K171">
            <v>197.03969999999998</v>
          </cell>
          <cell r="L171">
            <v>216.74366999999998</v>
          </cell>
          <cell r="M171">
            <v>186.09305000000001</v>
          </cell>
          <cell r="Q171">
            <v>0.1</v>
          </cell>
          <cell r="R171"/>
        </row>
        <row r="172">
          <cell r="A172" t="str">
            <v>HIGHLIGHT</v>
          </cell>
          <cell r="H172">
            <v>68.2</v>
          </cell>
          <cell r="I172">
            <v>64.790000000000006</v>
          </cell>
          <cell r="J172">
            <v>71.26900000000002</v>
          </cell>
          <cell r="K172">
            <v>61.38</v>
          </cell>
          <cell r="L172">
            <v>67.518000000000001</v>
          </cell>
          <cell r="M172">
            <v>57.97</v>
          </cell>
          <cell r="Q172">
            <v>0.1</v>
          </cell>
          <cell r="R172"/>
        </row>
        <row r="173">
          <cell r="A173" t="str">
            <v>HINGE</v>
          </cell>
          <cell r="H173">
            <v>350.9</v>
          </cell>
          <cell r="I173">
            <v>333.35499999999996</v>
          </cell>
          <cell r="J173">
            <v>366.69049999999999</v>
          </cell>
          <cell r="K173">
            <v>315.81</v>
          </cell>
          <cell r="L173">
            <v>347.39100000000002</v>
          </cell>
          <cell r="M173">
            <v>298.26499999999999</v>
          </cell>
          <cell r="Q173">
            <v>0.1</v>
          </cell>
          <cell r="R173"/>
        </row>
        <row r="174">
          <cell r="A174" t="str">
            <v>HOLLAND VELVET</v>
          </cell>
          <cell r="H174">
            <v>74.5</v>
          </cell>
          <cell r="I174">
            <v>70.775000000000006</v>
          </cell>
          <cell r="J174">
            <v>77.852500000000006</v>
          </cell>
          <cell r="K174">
            <v>67.05</v>
          </cell>
          <cell r="L174">
            <v>73.754999999999995</v>
          </cell>
          <cell r="M174">
            <v>63.325000000000003</v>
          </cell>
          <cell r="Q174">
            <v>0</v>
          </cell>
          <cell r="R174"/>
        </row>
        <row r="175">
          <cell r="A175" t="str">
            <v>ICON</v>
          </cell>
          <cell r="H175">
            <v>104.5</v>
          </cell>
          <cell r="I175">
            <v>99.275000000000006</v>
          </cell>
          <cell r="J175">
            <v>109.20250000000001</v>
          </cell>
          <cell r="K175">
            <v>94.05</v>
          </cell>
          <cell r="L175">
            <v>103.455</v>
          </cell>
          <cell r="M175">
            <v>88.825000000000003</v>
          </cell>
          <cell r="Q175">
            <v>0</v>
          </cell>
          <cell r="R175" t="str">
            <v>WATER 
REPELLENT</v>
          </cell>
        </row>
        <row r="176">
          <cell r="A176" t="str">
            <v>IMPERIO</v>
          </cell>
          <cell r="H176">
            <v>153.43900000000002</v>
          </cell>
          <cell r="I176">
            <v>145.76705000000001</v>
          </cell>
          <cell r="J176">
            <v>160.34375500000002</v>
          </cell>
          <cell r="K176">
            <v>138.09510000000003</v>
          </cell>
          <cell r="L176">
            <v>151.90461000000005</v>
          </cell>
          <cell r="M176">
            <v>130.42315000000002</v>
          </cell>
          <cell r="Q176">
            <v>0.1</v>
          </cell>
          <cell r="R176" t="str">
            <v>DESC</v>
          </cell>
        </row>
        <row r="177">
          <cell r="A177" t="str">
            <v>IMPERIO PLUS</v>
          </cell>
          <cell r="H177">
            <v>87.45</v>
          </cell>
          <cell r="I177">
            <v>83.077500000000001</v>
          </cell>
          <cell r="J177">
            <v>91.385250000000013</v>
          </cell>
          <cell r="K177">
            <v>78.704999999999998</v>
          </cell>
          <cell r="L177">
            <v>86.575500000000005</v>
          </cell>
          <cell r="M177">
            <v>74.33250000000001</v>
          </cell>
          <cell r="Q177">
            <v>0.1</v>
          </cell>
          <cell r="R177" t="str">
            <v>DESC</v>
          </cell>
        </row>
        <row r="178">
          <cell r="A178" t="str">
            <v>INCANTO</v>
          </cell>
          <cell r="H178">
            <v>163.9</v>
          </cell>
          <cell r="I178">
            <v>155.70500000000001</v>
          </cell>
          <cell r="J178">
            <v>171.27550000000002</v>
          </cell>
          <cell r="K178">
            <v>147.51</v>
          </cell>
          <cell r="L178">
            <v>162.261</v>
          </cell>
          <cell r="M178">
            <v>139.315</v>
          </cell>
          <cell r="Q178">
            <v>0.1</v>
          </cell>
          <cell r="R178" t="str">
            <v>NOVATEX
FEB 2026</v>
          </cell>
        </row>
        <row r="179">
          <cell r="A179" t="str">
            <v>INDUS</v>
          </cell>
          <cell r="H179">
            <v>156.44999999999999</v>
          </cell>
          <cell r="I179">
            <v>148.6275</v>
          </cell>
          <cell r="J179">
            <v>163.49025</v>
          </cell>
          <cell r="K179">
            <v>140.80499999999998</v>
          </cell>
          <cell r="L179">
            <v>154.88549999999998</v>
          </cell>
          <cell r="M179">
            <v>132.98249999999999</v>
          </cell>
          <cell r="Q179">
            <v>0.05</v>
          </cell>
          <cell r="R179" t="str">
            <v>REVOLUTION</v>
          </cell>
        </row>
        <row r="180">
          <cell r="A180" t="str">
            <v>INTERLACE</v>
          </cell>
          <cell r="H180">
            <v>834.9</v>
          </cell>
          <cell r="I180">
            <v>793.15499999999997</v>
          </cell>
          <cell r="J180">
            <v>872.47050000000002</v>
          </cell>
          <cell r="K180">
            <v>751.41</v>
          </cell>
          <cell r="L180">
            <v>826.55099999999993</v>
          </cell>
          <cell r="M180">
            <v>709.66499999999996</v>
          </cell>
          <cell r="Q180">
            <v>0.1</v>
          </cell>
          <cell r="R180" t="str">
            <v>SUNBELIEVABLE</v>
          </cell>
        </row>
        <row r="181">
          <cell r="A181" t="str">
            <v>INVERNO</v>
          </cell>
          <cell r="H181">
            <v>229.9</v>
          </cell>
          <cell r="I181">
            <v>218.405</v>
          </cell>
          <cell r="J181">
            <v>240.24550000000002</v>
          </cell>
          <cell r="K181">
            <v>206.91</v>
          </cell>
          <cell r="L181">
            <v>227.601</v>
          </cell>
          <cell r="M181">
            <v>195.41500000000002</v>
          </cell>
          <cell r="Q181">
            <v>0.1</v>
          </cell>
          <cell r="R181" t="str">
            <v>NOVATEX</v>
          </cell>
        </row>
        <row r="182">
          <cell r="A182" t="str">
            <v>IRIS</v>
          </cell>
          <cell r="H182">
            <v>199.50700000000001</v>
          </cell>
          <cell r="I182">
            <v>189.53165000000001</v>
          </cell>
          <cell r="J182">
            <v>208.48481500000003</v>
          </cell>
          <cell r="K182">
            <v>179.55629999999999</v>
          </cell>
          <cell r="L182">
            <v>197.51193000000001</v>
          </cell>
          <cell r="M182">
            <v>169.58095</v>
          </cell>
          <cell r="Q182">
            <v>0.1</v>
          </cell>
          <cell r="R182" t="str">
            <v>SORELLA
SHEER</v>
          </cell>
        </row>
        <row r="183">
          <cell r="A183" t="str">
            <v>ISABELLA</v>
          </cell>
          <cell r="H183">
            <v>277.09000000000003</v>
          </cell>
          <cell r="I183">
            <v>263.2355</v>
          </cell>
          <cell r="J183">
            <v>289.55905000000001</v>
          </cell>
          <cell r="K183">
            <v>249.38100000000003</v>
          </cell>
          <cell r="L183">
            <v>274.31910000000005</v>
          </cell>
          <cell r="M183">
            <v>235.52650000000003</v>
          </cell>
          <cell r="Q183">
            <v>0.1</v>
          </cell>
          <cell r="R183" t="str">
            <v>NOVATEX</v>
          </cell>
        </row>
        <row r="184">
          <cell r="A184" t="str">
            <v>ISHARA</v>
          </cell>
          <cell r="H184">
            <v>383.9</v>
          </cell>
          <cell r="I184">
            <v>364.70499999999998</v>
          </cell>
          <cell r="J184">
            <v>401.1755</v>
          </cell>
          <cell r="K184">
            <v>345.51</v>
          </cell>
          <cell r="L184">
            <v>380.06099999999998</v>
          </cell>
          <cell r="M184">
            <v>326.315</v>
          </cell>
          <cell r="Q184">
            <v>0.1</v>
          </cell>
          <cell r="R184"/>
        </row>
        <row r="185">
          <cell r="A185" t="str">
            <v>ITALIAN VELVET</v>
          </cell>
          <cell r="H185">
            <v>79.5</v>
          </cell>
          <cell r="I185">
            <v>75.525000000000006</v>
          </cell>
          <cell r="J185">
            <v>83.077500000000015</v>
          </cell>
          <cell r="K185">
            <v>71.55</v>
          </cell>
          <cell r="L185">
            <v>78.704999999999998</v>
          </cell>
          <cell r="M185">
            <v>67.575000000000003</v>
          </cell>
          <cell r="Q185">
            <v>0</v>
          </cell>
          <cell r="R185"/>
        </row>
        <row r="186">
          <cell r="A186" t="str">
            <v>JAIPUR</v>
          </cell>
          <cell r="H186">
            <v>642.2639999999999</v>
          </cell>
          <cell r="I186">
            <v>610.15079999999989</v>
          </cell>
          <cell r="J186">
            <v>671.1658799999999</v>
          </cell>
          <cell r="K186">
            <v>578.03759999999988</v>
          </cell>
          <cell r="L186">
            <v>635.8413599999999</v>
          </cell>
          <cell r="M186">
            <v>545.92439999999988</v>
          </cell>
          <cell r="Q186">
            <v>0.05</v>
          </cell>
          <cell r="R186" t="str">
            <v>REVOLUTION
OUTDOOR</v>
          </cell>
        </row>
        <row r="187">
          <cell r="A187" t="str">
            <v>JANE</v>
          </cell>
          <cell r="H187">
            <v>76.45</v>
          </cell>
          <cell r="I187">
            <v>72.627499999999998</v>
          </cell>
          <cell r="J187">
            <v>79.890250000000009</v>
          </cell>
          <cell r="K187">
            <v>68.805000000000007</v>
          </cell>
          <cell r="L187">
            <v>75.685500000000005</v>
          </cell>
          <cell r="M187">
            <v>64.982500000000002</v>
          </cell>
          <cell r="Q187">
            <v>0.1</v>
          </cell>
          <cell r="R187" t="str">
            <v>SORELLA
BLACK OUT</v>
          </cell>
        </row>
        <row r="188">
          <cell r="A188" t="str">
            <v>JANE DOUBLE</v>
          </cell>
          <cell r="H188">
            <v>141.9</v>
          </cell>
          <cell r="I188">
            <v>134.80500000000001</v>
          </cell>
          <cell r="J188">
            <v>148.28550000000001</v>
          </cell>
          <cell r="K188">
            <v>127.71000000000001</v>
          </cell>
          <cell r="L188">
            <v>140.48099999999999</v>
          </cell>
          <cell r="M188">
            <v>120.61500000000001</v>
          </cell>
          <cell r="Q188">
            <v>0.1</v>
          </cell>
          <cell r="R188" t="str">
            <v>SORELLA
BLACK OUT</v>
          </cell>
        </row>
        <row r="189">
          <cell r="A189" t="str">
            <v>JAST</v>
          </cell>
          <cell r="H189">
            <v>251.9</v>
          </cell>
          <cell r="I189">
            <v>239.30500000000001</v>
          </cell>
          <cell r="J189">
            <v>263.2355</v>
          </cell>
          <cell r="K189">
            <v>226.71</v>
          </cell>
          <cell r="L189">
            <v>249.381</v>
          </cell>
          <cell r="M189">
            <v>214.11500000000001</v>
          </cell>
          <cell r="Q189">
            <v>0.1</v>
          </cell>
          <cell r="R189"/>
        </row>
        <row r="190">
          <cell r="A190" t="str">
            <v>JETTY</v>
          </cell>
          <cell r="H190">
            <v>199</v>
          </cell>
          <cell r="I190">
            <v>189.05</v>
          </cell>
          <cell r="J190">
            <v>207.95500000000004</v>
          </cell>
          <cell r="K190">
            <v>179.1</v>
          </cell>
          <cell r="L190">
            <v>197.01</v>
          </cell>
          <cell r="M190">
            <v>169.15</v>
          </cell>
          <cell r="Q190">
            <v>0</v>
          </cell>
          <cell r="R190" t="str">
            <v>VINIL OUTDOOR</v>
          </cell>
        </row>
        <row r="191">
          <cell r="A191" t="str">
            <v>JOVAN</v>
          </cell>
          <cell r="H191">
            <v>219.45</v>
          </cell>
          <cell r="I191">
            <v>208.47749999999999</v>
          </cell>
          <cell r="J191">
            <v>229.32525000000001</v>
          </cell>
          <cell r="K191">
            <v>197.505</v>
          </cell>
          <cell r="L191">
            <v>217.25549999999998</v>
          </cell>
          <cell r="M191">
            <v>186.5325</v>
          </cell>
          <cell r="Q191">
            <v>0.1</v>
          </cell>
          <cell r="R191"/>
        </row>
        <row r="192">
          <cell r="A192" t="str">
            <v>JULIETA</v>
          </cell>
          <cell r="H192">
            <v>328.9</v>
          </cell>
          <cell r="I192">
            <v>312.45499999999998</v>
          </cell>
          <cell r="J192">
            <v>343.70050000000003</v>
          </cell>
          <cell r="K192">
            <v>296.01</v>
          </cell>
          <cell r="L192">
            <v>325.61099999999999</v>
          </cell>
          <cell r="M192">
            <v>279.565</v>
          </cell>
          <cell r="Q192">
            <v>0.1</v>
          </cell>
          <cell r="R192" t="str">
            <v>NOVATEX</v>
          </cell>
        </row>
        <row r="193">
          <cell r="A193" t="str">
            <v>JUNO</v>
          </cell>
          <cell r="H193">
            <v>208.45</v>
          </cell>
          <cell r="I193">
            <v>198.02749999999997</v>
          </cell>
          <cell r="J193">
            <v>217.83024999999998</v>
          </cell>
          <cell r="K193">
            <v>187.60499999999999</v>
          </cell>
          <cell r="L193">
            <v>206.3655</v>
          </cell>
          <cell r="M193">
            <v>177.1825</v>
          </cell>
          <cell r="Q193">
            <v>0.1</v>
          </cell>
          <cell r="R193" t="str">
            <v>SORELLA
BLACK OUT</v>
          </cell>
        </row>
        <row r="194">
          <cell r="A194" t="str">
            <v>KAIS</v>
          </cell>
          <cell r="H194">
            <v>263.45</v>
          </cell>
          <cell r="I194">
            <v>250.27749999999997</v>
          </cell>
          <cell r="J194">
            <v>275.30525</v>
          </cell>
          <cell r="K194">
            <v>237.10499999999999</v>
          </cell>
          <cell r="L194">
            <v>260.81549999999999</v>
          </cell>
          <cell r="M194">
            <v>223.9325</v>
          </cell>
          <cell r="Q194">
            <v>0.1</v>
          </cell>
          <cell r="R194"/>
        </row>
        <row r="195">
          <cell r="A195" t="str">
            <v>KALAHARI</v>
          </cell>
          <cell r="H195">
            <v>284.89999999999998</v>
          </cell>
          <cell r="I195">
            <v>270.65499999999997</v>
          </cell>
          <cell r="J195">
            <v>297.72050000000002</v>
          </cell>
          <cell r="K195">
            <v>256.40999999999997</v>
          </cell>
          <cell r="L195">
            <v>282.05099999999999</v>
          </cell>
          <cell r="M195">
            <v>242.16499999999999</v>
          </cell>
          <cell r="Q195">
            <v>0.1</v>
          </cell>
          <cell r="R195" t="str">
            <v>DESC</v>
          </cell>
        </row>
        <row r="196">
          <cell r="A196" t="str">
            <v>KALI</v>
          </cell>
          <cell r="H196">
            <v>383.9</v>
          </cell>
          <cell r="I196">
            <v>364.70499999999998</v>
          </cell>
          <cell r="J196">
            <v>401.1755</v>
          </cell>
          <cell r="K196">
            <v>345.51</v>
          </cell>
          <cell r="L196">
            <v>380.06099999999998</v>
          </cell>
          <cell r="M196">
            <v>326.315</v>
          </cell>
          <cell r="Q196">
            <v>0.1</v>
          </cell>
          <cell r="R196"/>
        </row>
        <row r="197">
          <cell r="A197" t="str">
            <v>KATE</v>
          </cell>
          <cell r="H197">
            <v>152.42699999999999</v>
          </cell>
          <cell r="I197">
            <v>144.80564999999999</v>
          </cell>
          <cell r="J197">
            <v>159.286215</v>
          </cell>
          <cell r="K197">
            <v>137.18430000000001</v>
          </cell>
          <cell r="L197">
            <v>150.90273000000002</v>
          </cell>
          <cell r="M197">
            <v>129.56295</v>
          </cell>
          <cell r="Q197">
            <v>0.1</v>
          </cell>
          <cell r="R197" t="str">
            <v>SORELLA
SHEER</v>
          </cell>
        </row>
        <row r="198">
          <cell r="A198" t="str">
            <v>KETEN</v>
          </cell>
          <cell r="H198">
            <v>75.921999999999997</v>
          </cell>
          <cell r="I198">
            <v>72.125900000000001</v>
          </cell>
          <cell r="J198">
            <v>79.338490000000007</v>
          </cell>
          <cell r="K198">
            <v>68.329799999999992</v>
          </cell>
          <cell r="L198">
            <v>75.162779999999998</v>
          </cell>
          <cell r="M198">
            <v>64.533699999999996</v>
          </cell>
          <cell r="Q198">
            <v>0.1</v>
          </cell>
          <cell r="R198" t="str">
            <v>DESC</v>
          </cell>
        </row>
        <row r="199">
          <cell r="A199" t="str">
            <v xml:space="preserve">KEYNOTE </v>
          </cell>
          <cell r="H199">
            <v>794.024</v>
          </cell>
          <cell r="I199">
            <v>754.32280000000003</v>
          </cell>
          <cell r="J199">
            <v>829.75508000000013</v>
          </cell>
          <cell r="K199">
            <v>714.62159999999994</v>
          </cell>
          <cell r="L199">
            <v>786.08375999999998</v>
          </cell>
          <cell r="M199">
            <v>674.92039999999997</v>
          </cell>
          <cell r="Q199">
            <v>0.1</v>
          </cell>
          <cell r="R199" t="str">
            <v>DESC</v>
          </cell>
        </row>
        <row r="200">
          <cell r="A200" t="str">
            <v>KIBA</v>
          </cell>
          <cell r="H200">
            <v>90.825000000000003</v>
          </cell>
          <cell r="I200">
            <v>86.283749999999998</v>
          </cell>
          <cell r="J200">
            <v>94.912125000000003</v>
          </cell>
          <cell r="K200">
            <v>81.742500000000007</v>
          </cell>
          <cell r="L200">
            <v>89.916750000000008</v>
          </cell>
          <cell r="M200">
            <v>77.201250000000002</v>
          </cell>
          <cell r="Q200">
            <v>0.05</v>
          </cell>
          <cell r="R200"/>
        </row>
        <row r="201">
          <cell r="A201" t="str">
            <v>KIMANA</v>
          </cell>
          <cell r="H201">
            <v>596.99200000000008</v>
          </cell>
          <cell r="I201">
            <v>567.14240000000007</v>
          </cell>
          <cell r="J201">
            <v>623.85664000000008</v>
          </cell>
          <cell r="K201">
            <v>537.29280000000006</v>
          </cell>
          <cell r="L201">
            <v>591.02208000000007</v>
          </cell>
          <cell r="M201">
            <v>507.44320000000005</v>
          </cell>
          <cell r="Q201">
            <v>0.1</v>
          </cell>
          <cell r="R201" t="str">
            <v>SUNBELIEVABLE</v>
          </cell>
        </row>
        <row r="202">
          <cell r="A202" t="str">
            <v>KIPTON</v>
          </cell>
          <cell r="H202">
            <v>317.89999999999998</v>
          </cell>
          <cell r="I202">
            <v>302.005</v>
          </cell>
          <cell r="J202">
            <v>332.20550000000003</v>
          </cell>
          <cell r="K202">
            <v>286.10999999999996</v>
          </cell>
          <cell r="L202">
            <v>314.72099999999995</v>
          </cell>
          <cell r="M202">
            <v>270.21499999999997</v>
          </cell>
          <cell r="Q202">
            <v>0.1</v>
          </cell>
          <cell r="R202"/>
        </row>
        <row r="203">
          <cell r="A203" t="str">
            <v>KIRA</v>
          </cell>
          <cell r="H203">
            <v>288.959</v>
          </cell>
          <cell r="I203">
            <v>274.51105000000001</v>
          </cell>
          <cell r="J203">
            <v>301.96215500000005</v>
          </cell>
          <cell r="K203">
            <v>260.06310000000002</v>
          </cell>
          <cell r="L203">
            <v>286.06941</v>
          </cell>
          <cell r="M203">
            <v>245.61515</v>
          </cell>
          <cell r="Q203">
            <v>0.1</v>
          </cell>
          <cell r="R203" t="str">
            <v>SORELLA
SHEER</v>
          </cell>
        </row>
        <row r="204">
          <cell r="A204" t="str">
            <v>KORI</v>
          </cell>
          <cell r="H204">
            <v>383.9</v>
          </cell>
          <cell r="I204">
            <v>364.70499999999998</v>
          </cell>
          <cell r="J204">
            <v>401.1755</v>
          </cell>
          <cell r="K204">
            <v>345.51</v>
          </cell>
          <cell r="L204">
            <v>380.06099999999998</v>
          </cell>
          <cell r="M204">
            <v>326.315</v>
          </cell>
          <cell r="Q204">
            <v>0.1</v>
          </cell>
          <cell r="R204"/>
        </row>
        <row r="205">
          <cell r="A205" t="str">
            <v>LAKAI</v>
          </cell>
          <cell r="H205">
            <v>284.97699999999998</v>
          </cell>
          <cell r="I205">
            <v>270.72814999999997</v>
          </cell>
          <cell r="J205">
            <v>297.80096500000002</v>
          </cell>
          <cell r="K205">
            <v>256.47929999999997</v>
          </cell>
          <cell r="L205">
            <v>282.12722999999994</v>
          </cell>
          <cell r="M205">
            <v>242.23044999999999</v>
          </cell>
          <cell r="Q205">
            <v>0.1</v>
          </cell>
          <cell r="R205" t="str">
            <v>DESC</v>
          </cell>
        </row>
        <row r="206">
          <cell r="A206" t="str">
            <v>LANDSCAPE</v>
          </cell>
          <cell r="H206">
            <v>988.9</v>
          </cell>
          <cell r="I206">
            <v>939.45499999999993</v>
          </cell>
          <cell r="J206">
            <v>1033.4005</v>
          </cell>
          <cell r="K206">
            <v>890.01</v>
          </cell>
          <cell r="L206">
            <v>979.01099999999997</v>
          </cell>
          <cell r="M206">
            <v>840.56500000000005</v>
          </cell>
          <cell r="Q206">
            <v>0.1</v>
          </cell>
          <cell r="R206" t="str">
            <v>SUNBELIEVABLE</v>
          </cell>
        </row>
        <row r="207">
          <cell r="A207" t="str">
            <v>LAYLA</v>
          </cell>
          <cell r="H207">
            <v>175.45</v>
          </cell>
          <cell r="I207">
            <v>166.67749999999998</v>
          </cell>
          <cell r="J207">
            <v>183.34524999999999</v>
          </cell>
          <cell r="K207">
            <v>157.905</v>
          </cell>
          <cell r="L207">
            <v>173.69550000000001</v>
          </cell>
          <cell r="M207">
            <v>149.13249999999999</v>
          </cell>
          <cell r="Q207">
            <v>0.1</v>
          </cell>
          <cell r="R207" t="str">
            <v>SORELLA
BLACK OUT</v>
          </cell>
        </row>
        <row r="208">
          <cell r="A208" t="str">
            <v>LAYLA DOUBLE</v>
          </cell>
          <cell r="H208">
            <v>372.9</v>
          </cell>
          <cell r="I208">
            <v>354.255</v>
          </cell>
          <cell r="J208">
            <v>389.68050000000005</v>
          </cell>
          <cell r="K208">
            <v>335.60999999999996</v>
          </cell>
          <cell r="L208">
            <v>369.17099999999994</v>
          </cell>
          <cell r="M208">
            <v>316.96499999999997</v>
          </cell>
          <cell r="Q208">
            <v>0.1</v>
          </cell>
          <cell r="R208" t="str">
            <v>SORELLA
BLACK OUT</v>
          </cell>
        </row>
        <row r="209">
          <cell r="A209" t="str">
            <v>LEGACY</v>
          </cell>
          <cell r="H209">
            <v>129</v>
          </cell>
          <cell r="I209">
            <v>122.55</v>
          </cell>
          <cell r="J209">
            <v>134.80500000000001</v>
          </cell>
          <cell r="K209">
            <v>116.1</v>
          </cell>
          <cell r="L209">
            <v>127.71</v>
          </cell>
          <cell r="M209">
            <v>109.65</v>
          </cell>
          <cell r="Q209">
            <v>0</v>
          </cell>
          <cell r="R209"/>
        </row>
        <row r="210">
          <cell r="A210" t="str">
            <v>LENA</v>
          </cell>
          <cell r="H210">
            <v>252.45</v>
          </cell>
          <cell r="I210">
            <v>239.82749999999999</v>
          </cell>
          <cell r="J210">
            <v>263.81025</v>
          </cell>
          <cell r="K210">
            <v>227.20499999999998</v>
          </cell>
          <cell r="L210">
            <v>249.9255</v>
          </cell>
          <cell r="M210">
            <v>214.58249999999998</v>
          </cell>
          <cell r="Q210">
            <v>0.1</v>
          </cell>
          <cell r="R210" t="str">
            <v>SORELLA
SHEER</v>
          </cell>
        </row>
        <row r="211">
          <cell r="A211" t="str">
            <v>LIA</v>
          </cell>
          <cell r="H211">
            <v>234.81700000000001</v>
          </cell>
          <cell r="I211">
            <v>223.07615000000001</v>
          </cell>
          <cell r="J211">
            <v>245.38376500000004</v>
          </cell>
          <cell r="K211">
            <v>211.33530000000002</v>
          </cell>
          <cell r="L211">
            <v>232.46883000000003</v>
          </cell>
          <cell r="M211">
            <v>199.59444999999999</v>
          </cell>
          <cell r="Q211">
            <v>0.1</v>
          </cell>
          <cell r="R211" t="str">
            <v>SORELLA
SHEER</v>
          </cell>
        </row>
        <row r="212">
          <cell r="A212" t="str">
            <v>LIBERTA</v>
          </cell>
          <cell r="H212">
            <v>174.9</v>
          </cell>
          <cell r="I212">
            <v>166.155</v>
          </cell>
          <cell r="J212">
            <v>182.77050000000003</v>
          </cell>
          <cell r="K212">
            <v>157.41</v>
          </cell>
          <cell r="L212">
            <v>173.15100000000001</v>
          </cell>
          <cell r="M212">
            <v>148.66500000000002</v>
          </cell>
          <cell r="Q212">
            <v>0.1</v>
          </cell>
          <cell r="R212" t="str">
            <v>NOVATEX
FEB 2026</v>
          </cell>
        </row>
        <row r="213">
          <cell r="A213" t="str">
            <v>LIFEGUARD</v>
          </cell>
          <cell r="H213">
            <v>306.89999999999998</v>
          </cell>
          <cell r="I213">
            <v>291.55499999999995</v>
          </cell>
          <cell r="J213">
            <v>320.71049999999997</v>
          </cell>
          <cell r="K213">
            <v>276.20999999999998</v>
          </cell>
          <cell r="L213">
            <v>303.83099999999996</v>
          </cell>
          <cell r="M213">
            <v>260.86500000000001</v>
          </cell>
          <cell r="Q213">
            <v>0.1</v>
          </cell>
          <cell r="R213" t="str">
            <v>SUNBELIEVABLE</v>
          </cell>
        </row>
        <row r="214">
          <cell r="A214" t="str">
            <v>LINDELL</v>
          </cell>
          <cell r="H214">
            <v>397.90300000000002</v>
          </cell>
          <cell r="I214">
            <v>378.00785000000002</v>
          </cell>
          <cell r="J214">
            <v>415.80863500000004</v>
          </cell>
          <cell r="K214">
            <v>358.11270000000002</v>
          </cell>
          <cell r="L214">
            <v>393.92397</v>
          </cell>
          <cell r="M214">
            <v>338.21755000000002</v>
          </cell>
          <cell r="Q214">
            <v>0.1</v>
          </cell>
          <cell r="R214" t="str">
            <v>DESC</v>
          </cell>
        </row>
        <row r="215">
          <cell r="A215" t="str">
            <v>LINUS</v>
          </cell>
          <cell r="H215">
            <v>348.78899999999999</v>
          </cell>
          <cell r="I215">
            <v>331.34954999999997</v>
          </cell>
          <cell r="J215">
            <v>364.48450500000001</v>
          </cell>
          <cell r="K215">
            <v>313.9101</v>
          </cell>
          <cell r="L215">
            <v>345.30110999999999</v>
          </cell>
          <cell r="M215">
            <v>296.47064999999998</v>
          </cell>
          <cell r="Q215">
            <v>0.05</v>
          </cell>
          <cell r="R215" t="str">
            <v>REVOLUTION
OUTDOOR</v>
          </cell>
        </row>
        <row r="216">
          <cell r="A216" t="str">
            <v>LIVORNO</v>
          </cell>
          <cell r="H216">
            <v>229.9</v>
          </cell>
          <cell r="I216">
            <v>218.405</v>
          </cell>
          <cell r="J216">
            <v>240.24550000000002</v>
          </cell>
          <cell r="K216">
            <v>206.91</v>
          </cell>
          <cell r="L216">
            <v>227.601</v>
          </cell>
          <cell r="M216">
            <v>195.41500000000002</v>
          </cell>
          <cell r="Q216">
            <v>0.1</v>
          </cell>
          <cell r="R216" t="str">
            <v>NOVATEX</v>
          </cell>
        </row>
        <row r="217">
          <cell r="A217" t="str">
            <v>LLOYD</v>
          </cell>
          <cell r="H217">
            <v>393.93900000000002</v>
          </cell>
          <cell r="I217">
            <v>374.24205000000001</v>
          </cell>
          <cell r="J217">
            <v>411.66625500000004</v>
          </cell>
          <cell r="K217">
            <v>354.54510000000005</v>
          </cell>
          <cell r="L217">
            <v>389.99961000000008</v>
          </cell>
          <cell r="M217">
            <v>334.84815000000003</v>
          </cell>
          <cell r="Q217">
            <v>0.05</v>
          </cell>
          <cell r="R217" t="str">
            <v>REVOLUTION
OUTDOOR</v>
          </cell>
        </row>
        <row r="218">
          <cell r="A218" t="str">
            <v xml:space="preserve">LOFT </v>
          </cell>
          <cell r="H218">
            <v>529</v>
          </cell>
          <cell r="I218">
            <v>502.55</v>
          </cell>
          <cell r="J218">
            <v>552.80500000000006</v>
          </cell>
          <cell r="K218">
            <v>476.1</v>
          </cell>
          <cell r="L218">
            <v>523.71</v>
          </cell>
          <cell r="M218">
            <v>449.65</v>
          </cell>
          <cell r="Q218">
            <v>0</v>
          </cell>
          <cell r="R218" t="str">
            <v>REVOLUTION</v>
          </cell>
        </row>
        <row r="219">
          <cell r="A219" t="str">
            <v>LORAX</v>
          </cell>
          <cell r="H219">
            <v>279</v>
          </cell>
          <cell r="I219">
            <v>265.05</v>
          </cell>
          <cell r="J219">
            <v>291.55500000000006</v>
          </cell>
          <cell r="K219">
            <v>251.1</v>
          </cell>
          <cell r="L219">
            <v>276.20999999999998</v>
          </cell>
          <cell r="M219">
            <v>237.15</v>
          </cell>
          <cell r="Q219">
            <v>0</v>
          </cell>
          <cell r="R219"/>
        </row>
        <row r="220">
          <cell r="A220" t="str">
            <v>LOVEGOOD</v>
          </cell>
          <cell r="H220">
            <v>262.89999999999998</v>
          </cell>
          <cell r="I220">
            <v>249.75499999999997</v>
          </cell>
          <cell r="J220">
            <v>274.73050000000001</v>
          </cell>
          <cell r="K220">
            <v>236.60999999999999</v>
          </cell>
          <cell r="L220">
            <v>260.27099999999996</v>
          </cell>
          <cell r="M220">
            <v>223.46499999999997</v>
          </cell>
          <cell r="Q220">
            <v>0.1</v>
          </cell>
          <cell r="R220"/>
        </row>
        <row r="221">
          <cell r="A221" t="str">
            <v>LOVEME</v>
          </cell>
          <cell r="H221">
            <v>163.9</v>
          </cell>
          <cell r="I221">
            <v>155.70500000000001</v>
          </cell>
          <cell r="J221">
            <v>171.27550000000002</v>
          </cell>
          <cell r="K221">
            <v>147.51</v>
          </cell>
          <cell r="L221">
            <v>162.261</v>
          </cell>
          <cell r="M221">
            <v>139.315</v>
          </cell>
          <cell r="Q221">
            <v>0.1</v>
          </cell>
          <cell r="R221"/>
        </row>
        <row r="222">
          <cell r="A222" t="str">
            <v>LUCCA</v>
          </cell>
          <cell r="H222">
            <v>99.5</v>
          </cell>
          <cell r="I222">
            <v>94.525000000000006</v>
          </cell>
          <cell r="J222">
            <v>103.97750000000002</v>
          </cell>
          <cell r="K222">
            <v>89.55</v>
          </cell>
          <cell r="L222">
            <v>98.504999999999995</v>
          </cell>
          <cell r="M222">
            <v>84.575000000000003</v>
          </cell>
          <cell r="Q222">
            <v>0</v>
          </cell>
          <cell r="R222"/>
        </row>
        <row r="223">
          <cell r="A223" t="str">
            <v>LULA</v>
          </cell>
          <cell r="H223">
            <v>351.923</v>
          </cell>
          <cell r="I223">
            <v>334.32684999999998</v>
          </cell>
          <cell r="J223">
            <v>367.75953500000003</v>
          </cell>
          <cell r="K223">
            <v>316.73070000000001</v>
          </cell>
          <cell r="L223">
            <v>348.40377000000001</v>
          </cell>
          <cell r="M223">
            <v>299.13454999999999</v>
          </cell>
          <cell r="Q223">
            <v>0.1</v>
          </cell>
          <cell r="R223" t="str">
            <v>SORELLA
SHEER</v>
          </cell>
        </row>
        <row r="224">
          <cell r="A224" t="str">
            <v>LULLABY</v>
          </cell>
          <cell r="H224">
            <v>149</v>
          </cell>
          <cell r="I224">
            <v>141.55000000000001</v>
          </cell>
          <cell r="J224">
            <v>155.70500000000001</v>
          </cell>
          <cell r="K224">
            <v>134.1</v>
          </cell>
          <cell r="L224">
            <v>147.51</v>
          </cell>
          <cell r="M224">
            <v>126.65</v>
          </cell>
          <cell r="Q224">
            <v>0</v>
          </cell>
          <cell r="R224"/>
        </row>
        <row r="225">
          <cell r="A225" t="str">
            <v>LYDUM</v>
          </cell>
          <cell r="H225">
            <v>317.89999999999998</v>
          </cell>
          <cell r="I225">
            <v>302.005</v>
          </cell>
          <cell r="J225">
            <v>332.20550000000003</v>
          </cell>
          <cell r="K225">
            <v>286.10999999999996</v>
          </cell>
          <cell r="L225">
            <v>314.72099999999995</v>
          </cell>
          <cell r="M225">
            <v>270.21499999999997</v>
          </cell>
          <cell r="Q225">
            <v>0.1</v>
          </cell>
          <cell r="R225" t="str">
            <v>DESC</v>
          </cell>
        </row>
        <row r="226">
          <cell r="A226" t="str">
            <v>MAGESTIC</v>
          </cell>
          <cell r="H226">
            <v>74.709999999999994</v>
          </cell>
          <cell r="I226">
            <v>70.974499999999992</v>
          </cell>
          <cell r="J226">
            <v>78.071950000000001</v>
          </cell>
          <cell r="K226">
            <v>67.23899999999999</v>
          </cell>
          <cell r="L226">
            <v>73.962899999999991</v>
          </cell>
          <cell r="M226">
            <v>63.503499999999995</v>
          </cell>
          <cell r="Q226">
            <v>0</v>
          </cell>
          <cell r="R226"/>
        </row>
        <row r="227">
          <cell r="A227" t="str">
            <v>MAKAR</v>
          </cell>
          <cell r="H227">
            <v>449.9</v>
          </cell>
          <cell r="I227">
            <v>427.40499999999997</v>
          </cell>
          <cell r="J227">
            <v>470.14550000000003</v>
          </cell>
          <cell r="K227">
            <v>404.90999999999997</v>
          </cell>
          <cell r="L227">
            <v>445.40099999999995</v>
          </cell>
          <cell r="M227">
            <v>382.41499999999996</v>
          </cell>
          <cell r="Q227">
            <v>0.1</v>
          </cell>
          <cell r="R227" t="str">
            <v>SUNBELIEVABLE</v>
          </cell>
        </row>
        <row r="228">
          <cell r="A228" t="str">
            <v>MALIBU</v>
          </cell>
          <cell r="H228">
            <v>264.06450000000001</v>
          </cell>
          <cell r="I228">
            <v>250.86127500000001</v>
          </cell>
          <cell r="J228">
            <v>275.94740250000001</v>
          </cell>
          <cell r="K228">
            <v>237.65805</v>
          </cell>
          <cell r="L228">
            <v>261.423855</v>
          </cell>
          <cell r="M228">
            <v>224.454825</v>
          </cell>
          <cell r="Q228">
            <v>0.05</v>
          </cell>
          <cell r="R228" t="str">
            <v>REVOLUTION</v>
          </cell>
        </row>
        <row r="229">
          <cell r="A229" t="str">
            <v>MAMBA</v>
          </cell>
          <cell r="H229">
            <v>471.97500000000002</v>
          </cell>
          <cell r="I229">
            <v>448.37625000000003</v>
          </cell>
          <cell r="J229">
            <v>493.21387500000009</v>
          </cell>
          <cell r="K229">
            <v>424.77750000000003</v>
          </cell>
          <cell r="L229">
            <v>467.25525000000005</v>
          </cell>
          <cell r="M229">
            <v>401.17875000000004</v>
          </cell>
          <cell r="Q229">
            <v>0.05</v>
          </cell>
          <cell r="R229" t="str">
            <v>REVOLUTION</v>
          </cell>
        </row>
        <row r="230">
          <cell r="A230" t="str">
            <v>MANTEO</v>
          </cell>
          <cell r="H230">
            <v>460.95</v>
          </cell>
          <cell r="I230">
            <v>437.90249999999997</v>
          </cell>
          <cell r="J230">
            <v>481.69274999999999</v>
          </cell>
          <cell r="K230">
            <v>414.85500000000002</v>
          </cell>
          <cell r="L230">
            <v>456.34050000000002</v>
          </cell>
          <cell r="M230">
            <v>391.8075</v>
          </cell>
          <cell r="Q230">
            <v>0.05</v>
          </cell>
          <cell r="R230" t="str">
            <v>REVOLUTION</v>
          </cell>
        </row>
        <row r="231">
          <cell r="A231" t="str">
            <v>MAPPERTON</v>
          </cell>
          <cell r="H231">
            <v>360.86599999999999</v>
          </cell>
          <cell r="I231">
            <v>342.8227</v>
          </cell>
          <cell r="J231">
            <v>377.10497000000004</v>
          </cell>
          <cell r="K231">
            <v>324.77940000000001</v>
          </cell>
          <cell r="L231">
            <v>357.25734</v>
          </cell>
          <cell r="M231">
            <v>306.73609999999996</v>
          </cell>
          <cell r="Q231">
            <v>0.1</v>
          </cell>
          <cell r="R231" t="str">
            <v>DESC</v>
          </cell>
        </row>
        <row r="232">
          <cell r="A232" t="str">
            <v>MAPUH</v>
          </cell>
          <cell r="H232">
            <v>314.05</v>
          </cell>
          <cell r="I232">
            <v>298.34750000000003</v>
          </cell>
          <cell r="J232">
            <v>328.18225000000007</v>
          </cell>
          <cell r="K232">
            <v>282.64499999999998</v>
          </cell>
          <cell r="L232">
            <v>310.90949999999998</v>
          </cell>
          <cell r="M232">
            <v>266.9425</v>
          </cell>
          <cell r="Q232">
            <v>0.1</v>
          </cell>
          <cell r="R232" t="str">
            <v>DESC</v>
          </cell>
        </row>
        <row r="233">
          <cell r="A233" t="str">
            <v>MARCUS</v>
          </cell>
          <cell r="H233">
            <v>103.95</v>
          </cell>
          <cell r="I233">
            <v>98.752499999999998</v>
          </cell>
          <cell r="J233">
            <v>108.62775000000001</v>
          </cell>
          <cell r="K233">
            <v>93.555000000000007</v>
          </cell>
          <cell r="L233">
            <v>102.91050000000001</v>
          </cell>
          <cell r="M233">
            <v>88.357500000000002</v>
          </cell>
          <cell r="Q233">
            <v>0.1</v>
          </cell>
          <cell r="R233" t="str">
            <v>DESC</v>
          </cell>
        </row>
        <row r="234">
          <cell r="A234" t="str">
            <v xml:space="preserve">MAX </v>
          </cell>
          <cell r="H234">
            <v>135.97499999999999</v>
          </cell>
          <cell r="I234">
            <v>129.17624999999998</v>
          </cell>
          <cell r="J234">
            <v>142.093875</v>
          </cell>
          <cell r="K234">
            <v>122.3775</v>
          </cell>
          <cell r="L234">
            <v>134.61525</v>
          </cell>
          <cell r="M234">
            <v>115.57875</v>
          </cell>
          <cell r="Q234">
            <v>0.05</v>
          </cell>
          <cell r="R234" t="str">
            <v>REVOLUTION</v>
          </cell>
        </row>
        <row r="235">
          <cell r="A235" t="str">
            <v>MAXIMUS</v>
          </cell>
          <cell r="H235">
            <v>741.95</v>
          </cell>
          <cell r="I235">
            <v>704.85250000000008</v>
          </cell>
          <cell r="J235">
            <v>775.33775000000014</v>
          </cell>
          <cell r="K235">
            <v>667.755</v>
          </cell>
          <cell r="L235">
            <v>734.53049999999996</v>
          </cell>
          <cell r="M235">
            <v>630.65750000000003</v>
          </cell>
          <cell r="Q235">
            <v>0.1</v>
          </cell>
          <cell r="R235" t="str">
            <v>DESC</v>
          </cell>
        </row>
        <row r="236">
          <cell r="A236" t="str">
            <v>MAYA</v>
          </cell>
          <cell r="H236">
            <v>128.887</v>
          </cell>
          <cell r="I236">
            <v>122.44265</v>
          </cell>
          <cell r="J236">
            <v>134.686915</v>
          </cell>
          <cell r="K236">
            <v>115.9983</v>
          </cell>
          <cell r="L236">
            <v>127.59813</v>
          </cell>
          <cell r="M236">
            <v>109.55395</v>
          </cell>
          <cell r="Q236">
            <v>0.1</v>
          </cell>
          <cell r="R236" t="str">
            <v>SORELLA
SHEER</v>
          </cell>
        </row>
        <row r="237">
          <cell r="A237" t="str">
            <v>MEDICI</v>
          </cell>
          <cell r="H237">
            <v>471.97500000000002</v>
          </cell>
          <cell r="I237">
            <v>448.37625000000003</v>
          </cell>
          <cell r="J237">
            <v>493.21387500000009</v>
          </cell>
          <cell r="K237">
            <v>424.77750000000003</v>
          </cell>
          <cell r="L237">
            <v>467.25525000000005</v>
          </cell>
          <cell r="M237">
            <v>401.17875000000004</v>
          </cell>
          <cell r="Q237">
            <v>0.05</v>
          </cell>
          <cell r="R237" t="str">
            <v>REVOLUTION</v>
          </cell>
        </row>
        <row r="238">
          <cell r="A238" t="str">
            <v>MELODY</v>
          </cell>
          <cell r="H238">
            <v>164.45</v>
          </cell>
          <cell r="I238">
            <v>156.22749999999999</v>
          </cell>
          <cell r="J238">
            <v>171.85025000000002</v>
          </cell>
          <cell r="K238">
            <v>148.005</v>
          </cell>
          <cell r="L238">
            <v>162.80549999999999</v>
          </cell>
          <cell r="M238">
            <v>139.7825</v>
          </cell>
          <cell r="Q238">
            <v>0.1</v>
          </cell>
          <cell r="R238" t="str">
            <v>SORELLA
BLACK OUT</v>
          </cell>
        </row>
        <row r="239">
          <cell r="A239" t="str">
            <v>MELODY DOUBLE</v>
          </cell>
          <cell r="H239">
            <v>350.9</v>
          </cell>
          <cell r="I239">
            <v>333.35499999999996</v>
          </cell>
          <cell r="J239">
            <v>366.69049999999999</v>
          </cell>
          <cell r="K239">
            <v>315.81</v>
          </cell>
          <cell r="L239">
            <v>347.39100000000002</v>
          </cell>
          <cell r="M239">
            <v>298.26499999999999</v>
          </cell>
          <cell r="Q239">
            <v>0.1</v>
          </cell>
          <cell r="R239" t="str">
            <v>SORELLA
BLACK OUT</v>
          </cell>
        </row>
        <row r="240">
          <cell r="A240" t="str">
            <v>MERINO</v>
          </cell>
          <cell r="H240">
            <v>241.45</v>
          </cell>
          <cell r="I240">
            <v>229.3775</v>
          </cell>
          <cell r="J240">
            <v>252.31525000000002</v>
          </cell>
          <cell r="K240">
            <v>217.30499999999998</v>
          </cell>
          <cell r="L240">
            <v>239.03549999999998</v>
          </cell>
          <cell r="M240">
            <v>205.23249999999999</v>
          </cell>
          <cell r="Q240">
            <v>0.1</v>
          </cell>
          <cell r="R240" t="str">
            <v>C-FREE</v>
          </cell>
        </row>
        <row r="241">
          <cell r="A241" t="str">
            <v>METROPOLITAN</v>
          </cell>
          <cell r="H241">
            <v>555.45000000000005</v>
          </cell>
          <cell r="I241">
            <v>527.67750000000001</v>
          </cell>
          <cell r="J241">
            <v>580.4452500000001</v>
          </cell>
          <cell r="K241">
            <v>499.90500000000003</v>
          </cell>
          <cell r="L241">
            <v>549.89550000000008</v>
          </cell>
          <cell r="M241">
            <v>472.13250000000005</v>
          </cell>
          <cell r="Q241">
            <v>0.05</v>
          </cell>
          <cell r="R241" t="str">
            <v>REVOLUTION</v>
          </cell>
        </row>
        <row r="242">
          <cell r="A242" t="str">
            <v xml:space="preserve">MILOS </v>
          </cell>
          <cell r="H242">
            <v>219.45</v>
          </cell>
          <cell r="I242">
            <v>208.47749999999999</v>
          </cell>
          <cell r="J242">
            <v>229.32525000000001</v>
          </cell>
          <cell r="K242">
            <v>197.505</v>
          </cell>
          <cell r="L242">
            <v>217.25549999999998</v>
          </cell>
          <cell r="M242">
            <v>186.5325</v>
          </cell>
          <cell r="Q242">
            <v>0.1</v>
          </cell>
          <cell r="R242" t="str">
            <v>DESC</v>
          </cell>
        </row>
        <row r="243">
          <cell r="A243" t="str">
            <v>MIRABELLE</v>
          </cell>
          <cell r="H243">
            <v>346.88500000000005</v>
          </cell>
          <cell r="I243">
            <v>329.54075000000006</v>
          </cell>
          <cell r="J243">
            <v>362.49482500000011</v>
          </cell>
          <cell r="K243">
            <v>312.19650000000001</v>
          </cell>
          <cell r="L243">
            <v>343.41615000000002</v>
          </cell>
          <cell r="M243">
            <v>294.85225000000003</v>
          </cell>
          <cell r="Q243">
            <v>0.1</v>
          </cell>
          <cell r="R243" t="str">
            <v>DESC</v>
          </cell>
        </row>
        <row r="244">
          <cell r="A244" t="str">
            <v>MIRAGE</v>
          </cell>
          <cell r="H244">
            <v>317.89999999999998</v>
          </cell>
          <cell r="I244">
            <v>302.005</v>
          </cell>
          <cell r="J244">
            <v>332.20550000000003</v>
          </cell>
          <cell r="K244">
            <v>286.10999999999996</v>
          </cell>
          <cell r="L244">
            <v>314.72099999999995</v>
          </cell>
          <cell r="M244">
            <v>270.21499999999997</v>
          </cell>
          <cell r="Q244">
            <v>0.1</v>
          </cell>
          <cell r="R244"/>
        </row>
        <row r="245">
          <cell r="A245" t="str">
            <v>MISHA</v>
          </cell>
          <cell r="H245">
            <v>460.9</v>
          </cell>
          <cell r="I245">
            <v>437.85499999999996</v>
          </cell>
          <cell r="J245">
            <v>481.64049999999997</v>
          </cell>
          <cell r="K245">
            <v>414.80999999999995</v>
          </cell>
          <cell r="L245">
            <v>456.29099999999994</v>
          </cell>
          <cell r="M245">
            <v>391.76499999999999</v>
          </cell>
          <cell r="Q245">
            <v>0.1</v>
          </cell>
          <cell r="R245"/>
        </row>
        <row r="246">
          <cell r="A246" t="str">
            <v>MOANA</v>
          </cell>
          <cell r="H246">
            <v>273.89999999999998</v>
          </cell>
          <cell r="I246">
            <v>260.20499999999998</v>
          </cell>
          <cell r="J246">
            <v>286.22550000000001</v>
          </cell>
          <cell r="K246">
            <v>246.51</v>
          </cell>
          <cell r="L246">
            <v>271.161</v>
          </cell>
          <cell r="M246">
            <v>232.815</v>
          </cell>
          <cell r="Q246">
            <v>0.1</v>
          </cell>
          <cell r="R246" t="str">
            <v>FEB 2026</v>
          </cell>
        </row>
        <row r="247">
          <cell r="A247" t="str">
            <v>MOCCASIN</v>
          </cell>
          <cell r="H247">
            <v>372.9</v>
          </cell>
          <cell r="I247">
            <v>354.255</v>
          </cell>
          <cell r="J247">
            <v>389.68050000000005</v>
          </cell>
          <cell r="K247">
            <v>335.60999999999996</v>
          </cell>
          <cell r="L247">
            <v>369.17099999999994</v>
          </cell>
          <cell r="M247">
            <v>316.96499999999997</v>
          </cell>
          <cell r="Q247">
            <v>0.1</v>
          </cell>
          <cell r="R247" t="str">
            <v>LONG LIFE
FEB 2026</v>
          </cell>
        </row>
        <row r="248">
          <cell r="A248" t="str">
            <v>MOHAIR</v>
          </cell>
          <cell r="H248">
            <v>129</v>
          </cell>
          <cell r="I248">
            <v>122.55</v>
          </cell>
          <cell r="J248">
            <v>134.80500000000001</v>
          </cell>
          <cell r="K248">
            <v>116.1</v>
          </cell>
          <cell r="L248">
            <v>127.71</v>
          </cell>
          <cell r="M248">
            <v>109.65</v>
          </cell>
          <cell r="Q248">
            <v>0</v>
          </cell>
          <cell r="R248"/>
        </row>
        <row r="249">
          <cell r="A249" t="str">
            <v>MONCHINO</v>
          </cell>
          <cell r="H249">
            <v>317.89999999999998</v>
          </cell>
          <cell r="I249">
            <v>302.005</v>
          </cell>
          <cell r="J249">
            <v>332.20550000000003</v>
          </cell>
          <cell r="K249">
            <v>286.10999999999996</v>
          </cell>
          <cell r="L249">
            <v>314.72099999999995</v>
          </cell>
          <cell r="M249">
            <v>270.21499999999997</v>
          </cell>
          <cell r="Q249">
            <v>0.1</v>
          </cell>
          <cell r="R249" t="str">
            <v>FEB 2026</v>
          </cell>
        </row>
        <row r="250">
          <cell r="A250" t="str">
            <v>MONELLO</v>
          </cell>
          <cell r="H250">
            <v>328.9</v>
          </cell>
          <cell r="I250">
            <v>312.45499999999998</v>
          </cell>
          <cell r="J250">
            <v>343.70050000000003</v>
          </cell>
          <cell r="K250">
            <v>296.01</v>
          </cell>
          <cell r="L250">
            <v>325.61099999999999</v>
          </cell>
          <cell r="M250">
            <v>279.565</v>
          </cell>
          <cell r="Q250">
            <v>0.1</v>
          </cell>
          <cell r="R250" t="str">
            <v>NOVATEX</v>
          </cell>
        </row>
        <row r="251">
          <cell r="A251" t="str">
            <v>MONET</v>
          </cell>
          <cell r="H251">
            <v>64.900000000000006</v>
          </cell>
          <cell r="I251">
            <v>61.655000000000008</v>
          </cell>
          <cell r="J251">
            <v>67.82050000000001</v>
          </cell>
          <cell r="K251">
            <v>58.410000000000004</v>
          </cell>
          <cell r="L251">
            <v>64.251000000000005</v>
          </cell>
          <cell r="M251">
            <v>55.165000000000006</v>
          </cell>
          <cell r="Q251">
            <v>0.1</v>
          </cell>
          <cell r="R251"/>
        </row>
        <row r="252">
          <cell r="A252" t="str">
            <v>MONIQUE</v>
          </cell>
          <cell r="H252">
            <v>152.9</v>
          </cell>
          <cell r="I252">
            <v>145.255</v>
          </cell>
          <cell r="J252">
            <v>159.78050000000002</v>
          </cell>
          <cell r="K252">
            <v>137.61000000000001</v>
          </cell>
          <cell r="L252">
            <v>151.37100000000001</v>
          </cell>
          <cell r="M252">
            <v>129.965</v>
          </cell>
          <cell r="Q252">
            <v>0.1</v>
          </cell>
          <cell r="R252"/>
        </row>
        <row r="253">
          <cell r="A253" t="str">
            <v>MONMOUTH</v>
          </cell>
          <cell r="H253">
            <v>402.90799999999996</v>
          </cell>
          <cell r="I253">
            <v>382.76259999999996</v>
          </cell>
          <cell r="J253">
            <v>421.03886</v>
          </cell>
          <cell r="K253">
            <v>362.61719999999997</v>
          </cell>
          <cell r="L253">
            <v>398.87891999999999</v>
          </cell>
          <cell r="M253">
            <v>342.47179999999997</v>
          </cell>
          <cell r="Q253">
            <v>0.1</v>
          </cell>
          <cell r="R253" t="str">
            <v>DESC</v>
          </cell>
        </row>
        <row r="254">
          <cell r="A254" t="str">
            <v>MONTANA</v>
          </cell>
          <cell r="H254">
            <v>109.45</v>
          </cell>
          <cell r="I254">
            <v>103.97750000000001</v>
          </cell>
          <cell r="J254">
            <v>114.37525000000002</v>
          </cell>
          <cell r="K254">
            <v>98.504999999999995</v>
          </cell>
          <cell r="L254">
            <v>108.35549999999999</v>
          </cell>
          <cell r="M254">
            <v>93.032499999999999</v>
          </cell>
          <cell r="Q254">
            <v>0.1</v>
          </cell>
          <cell r="R254" t="str">
            <v>DESC</v>
          </cell>
        </row>
        <row r="255">
          <cell r="A255" t="str">
            <v>MONUMENT</v>
          </cell>
          <cell r="H255">
            <v>120.45</v>
          </cell>
          <cell r="I255">
            <v>114.42750000000001</v>
          </cell>
          <cell r="J255">
            <v>125.87025000000003</v>
          </cell>
          <cell r="K255">
            <v>108.405</v>
          </cell>
          <cell r="L255">
            <v>119.24550000000001</v>
          </cell>
          <cell r="M255">
            <v>102.38250000000001</v>
          </cell>
          <cell r="Q255">
            <v>0.1</v>
          </cell>
          <cell r="R255"/>
        </row>
        <row r="256">
          <cell r="A256" t="str">
            <v>MORGAN</v>
          </cell>
          <cell r="H256">
            <v>264.76799999999997</v>
          </cell>
          <cell r="I256">
            <v>251.52959999999996</v>
          </cell>
          <cell r="J256">
            <v>276.68255999999997</v>
          </cell>
          <cell r="K256">
            <v>238.29119999999998</v>
          </cell>
          <cell r="L256">
            <v>262.12031999999999</v>
          </cell>
          <cell r="M256">
            <v>225.05279999999999</v>
          </cell>
          <cell r="Q256">
            <v>0.05</v>
          </cell>
          <cell r="R256"/>
        </row>
        <row r="257">
          <cell r="A257" t="str">
            <v>MOSSA</v>
          </cell>
          <cell r="H257">
            <v>251.9</v>
          </cell>
          <cell r="I257">
            <v>239.30500000000001</v>
          </cell>
          <cell r="J257">
            <v>263.2355</v>
          </cell>
          <cell r="K257">
            <v>226.71</v>
          </cell>
          <cell r="L257">
            <v>249.381</v>
          </cell>
          <cell r="M257">
            <v>214.11500000000001</v>
          </cell>
          <cell r="Q257">
            <v>0.1</v>
          </cell>
          <cell r="R257" t="str">
            <v>NOVATEX</v>
          </cell>
        </row>
        <row r="258">
          <cell r="A258" t="str">
            <v>MURANO</v>
          </cell>
          <cell r="H258">
            <v>250.95</v>
          </cell>
          <cell r="I258">
            <v>238.40249999999997</v>
          </cell>
          <cell r="J258">
            <v>262.24275</v>
          </cell>
          <cell r="K258">
            <v>225.85499999999999</v>
          </cell>
          <cell r="L258">
            <v>248.44049999999999</v>
          </cell>
          <cell r="M258">
            <v>213.3075</v>
          </cell>
          <cell r="Q258">
            <v>0.05</v>
          </cell>
          <cell r="R258" t="str">
            <v>REVOLUTION
FEB 2026</v>
          </cell>
        </row>
        <row r="259">
          <cell r="A259" t="str">
            <v>MUSTACHE</v>
          </cell>
          <cell r="H259">
            <v>460.9</v>
          </cell>
          <cell r="I259">
            <v>437.85499999999996</v>
          </cell>
          <cell r="J259">
            <v>481.64049999999997</v>
          </cell>
          <cell r="K259">
            <v>414.80999999999995</v>
          </cell>
          <cell r="L259">
            <v>456.29099999999994</v>
          </cell>
          <cell r="M259">
            <v>391.76499999999999</v>
          </cell>
          <cell r="Q259">
            <v>0.1</v>
          </cell>
          <cell r="R259" t="str">
            <v>LONG LIFE
FEB 2026</v>
          </cell>
        </row>
        <row r="260">
          <cell r="A260" t="str">
            <v>MYSTERY</v>
          </cell>
          <cell r="H260">
            <v>81.95</v>
          </cell>
          <cell r="I260">
            <v>77.852500000000006</v>
          </cell>
          <cell r="J260">
            <v>85.637750000000011</v>
          </cell>
          <cell r="K260">
            <v>73.754999999999995</v>
          </cell>
          <cell r="L260">
            <v>81.130499999999998</v>
          </cell>
          <cell r="M260">
            <v>69.657499999999999</v>
          </cell>
          <cell r="Q260">
            <v>0.1</v>
          </cell>
          <cell r="R260" t="str">
            <v>DESC</v>
          </cell>
        </row>
        <row r="261">
          <cell r="A261" t="str">
            <v>NADIA</v>
          </cell>
          <cell r="H261">
            <v>263.45</v>
          </cell>
          <cell r="I261">
            <v>250.27749999999997</v>
          </cell>
          <cell r="J261">
            <v>275.30525</v>
          </cell>
          <cell r="K261">
            <v>237.10499999999999</v>
          </cell>
          <cell r="L261">
            <v>260.81549999999999</v>
          </cell>
          <cell r="M261">
            <v>223.9325</v>
          </cell>
          <cell r="Q261">
            <v>0.1</v>
          </cell>
          <cell r="R261" t="str">
            <v>SORELLA
SHEER</v>
          </cell>
        </row>
        <row r="262">
          <cell r="A262" t="str">
            <v>NADIM</v>
          </cell>
          <cell r="H262">
            <v>261.65699999999998</v>
          </cell>
          <cell r="I262">
            <v>248.57414999999997</v>
          </cell>
          <cell r="J262">
            <v>273.43156499999998</v>
          </cell>
          <cell r="K262">
            <v>235.49129999999997</v>
          </cell>
          <cell r="L262">
            <v>259.04042999999996</v>
          </cell>
          <cell r="M262">
            <v>222.40844999999999</v>
          </cell>
          <cell r="Q262">
            <v>0.1</v>
          </cell>
          <cell r="R262" t="str">
            <v>SORELLA
SHEER</v>
          </cell>
        </row>
        <row r="263">
          <cell r="A263" t="str">
            <v>NALA</v>
          </cell>
          <cell r="H263">
            <v>163.9</v>
          </cell>
          <cell r="I263">
            <v>155.70500000000001</v>
          </cell>
          <cell r="J263">
            <v>171.27550000000002</v>
          </cell>
          <cell r="K263">
            <v>147.51</v>
          </cell>
          <cell r="L263">
            <v>162.261</v>
          </cell>
          <cell r="M263">
            <v>139.315</v>
          </cell>
          <cell r="Q263">
            <v>0.1</v>
          </cell>
          <cell r="R263"/>
        </row>
        <row r="264">
          <cell r="A264" t="str">
            <v>NAPOLES</v>
          </cell>
          <cell r="H264">
            <v>482.9</v>
          </cell>
          <cell r="I264">
            <v>458.755</v>
          </cell>
          <cell r="J264">
            <v>504.63050000000004</v>
          </cell>
          <cell r="K264">
            <v>434.60999999999996</v>
          </cell>
          <cell r="L264">
            <v>478.07099999999997</v>
          </cell>
          <cell r="M264">
            <v>410.46499999999997</v>
          </cell>
          <cell r="Q264">
            <v>0.1</v>
          </cell>
          <cell r="R264" t="str">
            <v>NOVATEX</v>
          </cell>
        </row>
        <row r="265">
          <cell r="A265" t="str">
            <v>NAUTIC</v>
          </cell>
          <cell r="H265">
            <v>189</v>
          </cell>
          <cell r="I265">
            <v>179.55</v>
          </cell>
          <cell r="J265">
            <v>197.50500000000002</v>
          </cell>
          <cell r="K265">
            <v>170.1</v>
          </cell>
          <cell r="L265">
            <v>187.10999999999999</v>
          </cell>
          <cell r="M265">
            <v>160.65</v>
          </cell>
          <cell r="Q265">
            <v>0</v>
          </cell>
          <cell r="R265" t="str">
            <v>VINIL OUTDOOR</v>
          </cell>
        </row>
        <row r="266">
          <cell r="A266" t="str">
            <v>NETHERLAND</v>
          </cell>
          <cell r="H266">
            <v>328.9</v>
          </cell>
          <cell r="I266">
            <v>312.45499999999998</v>
          </cell>
          <cell r="J266">
            <v>343.70050000000003</v>
          </cell>
          <cell r="K266">
            <v>296.01</v>
          </cell>
          <cell r="L266">
            <v>325.61099999999999</v>
          </cell>
          <cell r="M266">
            <v>279.565</v>
          </cell>
          <cell r="Q266">
            <v>0.1</v>
          </cell>
          <cell r="R266"/>
        </row>
        <row r="267">
          <cell r="A267" t="str">
            <v>NIMBUS</v>
          </cell>
          <cell r="H267">
            <v>130.9</v>
          </cell>
          <cell r="I267">
            <v>124.355</v>
          </cell>
          <cell r="J267">
            <v>136.79050000000001</v>
          </cell>
          <cell r="K267">
            <v>117.81</v>
          </cell>
          <cell r="L267">
            <v>129.59100000000001</v>
          </cell>
          <cell r="M267">
            <v>111.265</v>
          </cell>
          <cell r="Q267">
            <v>0.1</v>
          </cell>
          <cell r="R267"/>
        </row>
        <row r="268">
          <cell r="A268" t="str">
            <v>NINA</v>
          </cell>
          <cell r="H268">
            <v>281.89699999999999</v>
          </cell>
          <cell r="I268">
            <v>267.80214999999998</v>
          </cell>
          <cell r="J268">
            <v>294.58236499999998</v>
          </cell>
          <cell r="K268">
            <v>253.70729999999998</v>
          </cell>
          <cell r="L268">
            <v>279.07802999999996</v>
          </cell>
          <cell r="M268">
            <v>239.61245</v>
          </cell>
          <cell r="Q268">
            <v>0.1</v>
          </cell>
          <cell r="R268" t="str">
            <v>SORELLA
SHEER</v>
          </cell>
        </row>
        <row r="269">
          <cell r="A269" t="str">
            <v>NOAH</v>
          </cell>
          <cell r="H269">
            <v>270.12700000000001</v>
          </cell>
          <cell r="I269">
            <v>256.62065000000001</v>
          </cell>
          <cell r="J269">
            <v>282.28271500000005</v>
          </cell>
          <cell r="K269">
            <v>243.11430000000001</v>
          </cell>
          <cell r="L269">
            <v>267.42573000000004</v>
          </cell>
          <cell r="M269">
            <v>229.60795000000002</v>
          </cell>
          <cell r="Q269">
            <v>0.1</v>
          </cell>
          <cell r="R269" t="str">
            <v>SORELLA
SHEER</v>
          </cell>
        </row>
        <row r="270">
          <cell r="A270" t="str">
            <v>NORA</v>
          </cell>
          <cell r="H270">
            <v>263.45</v>
          </cell>
          <cell r="I270">
            <v>250.27749999999997</v>
          </cell>
          <cell r="J270">
            <v>275.30525</v>
          </cell>
          <cell r="K270">
            <v>237.10499999999999</v>
          </cell>
          <cell r="L270">
            <v>260.81549999999999</v>
          </cell>
          <cell r="M270">
            <v>223.9325</v>
          </cell>
          <cell r="Q270">
            <v>0.1</v>
          </cell>
          <cell r="R270" t="str">
            <v>SORELLA
SHEER</v>
          </cell>
        </row>
        <row r="271">
          <cell r="A271" t="str">
            <v>NORDIC</v>
          </cell>
          <cell r="H271">
            <v>416.9</v>
          </cell>
          <cell r="I271">
            <v>396.05499999999995</v>
          </cell>
          <cell r="J271">
            <v>435.66049999999996</v>
          </cell>
          <cell r="K271">
            <v>375.21</v>
          </cell>
          <cell r="L271">
            <v>412.73099999999999</v>
          </cell>
          <cell r="M271">
            <v>354.36500000000001</v>
          </cell>
          <cell r="Q271">
            <v>0.1</v>
          </cell>
          <cell r="R271"/>
        </row>
        <row r="272">
          <cell r="A272" t="str">
            <v>NOVARA</v>
          </cell>
          <cell r="H272">
            <v>373.89</v>
          </cell>
          <cell r="I272">
            <v>355.19549999999998</v>
          </cell>
          <cell r="J272">
            <v>390.71505000000002</v>
          </cell>
          <cell r="K272">
            <v>336.50099999999998</v>
          </cell>
          <cell r="L272">
            <v>370.15109999999999</v>
          </cell>
          <cell r="M272">
            <v>317.80649999999997</v>
          </cell>
          <cell r="Q272">
            <v>0.1</v>
          </cell>
          <cell r="R272" t="str">
            <v>NOVATEX</v>
          </cell>
        </row>
        <row r="273">
          <cell r="A273" t="str">
            <v>NUDE BEACH</v>
          </cell>
          <cell r="H273">
            <v>337.50150000000002</v>
          </cell>
          <cell r="I273">
            <v>320.62642500000004</v>
          </cell>
          <cell r="J273">
            <v>352.68906750000008</v>
          </cell>
          <cell r="K273">
            <v>303.75135</v>
          </cell>
          <cell r="L273">
            <v>334.126485</v>
          </cell>
          <cell r="M273">
            <v>286.87627500000002</v>
          </cell>
          <cell r="Q273">
            <v>0.05</v>
          </cell>
          <cell r="R273" t="str">
            <v>REVOLUTION
OUTDOOR</v>
          </cell>
        </row>
        <row r="274">
          <cell r="A274" t="str">
            <v>NUVOLA</v>
          </cell>
          <cell r="H274">
            <v>163.9</v>
          </cell>
          <cell r="I274">
            <v>155.70500000000001</v>
          </cell>
          <cell r="J274">
            <v>171.27550000000002</v>
          </cell>
          <cell r="K274">
            <v>147.51</v>
          </cell>
          <cell r="L274">
            <v>162.261</v>
          </cell>
          <cell r="M274">
            <v>139.315</v>
          </cell>
          <cell r="Q274">
            <v>0.1</v>
          </cell>
          <cell r="R274" t="str">
            <v>NOVATEX</v>
          </cell>
        </row>
        <row r="275">
          <cell r="A275" t="str">
            <v>OCALA</v>
          </cell>
          <cell r="H275">
            <v>208.3305</v>
          </cell>
          <cell r="I275">
            <v>197.91397499999999</v>
          </cell>
          <cell r="J275">
            <v>217.70537250000001</v>
          </cell>
          <cell r="K275">
            <v>187.49745000000001</v>
          </cell>
          <cell r="L275">
            <v>206.247195</v>
          </cell>
          <cell r="M275">
            <v>177.08092500000001</v>
          </cell>
          <cell r="Q275">
            <v>0.05</v>
          </cell>
          <cell r="R275" t="str">
            <v>REVOLUTION</v>
          </cell>
        </row>
        <row r="276">
          <cell r="A276" t="str">
            <v>ODYSSEY</v>
          </cell>
          <cell r="H276">
            <v>109.5</v>
          </cell>
          <cell r="I276">
            <v>104.02500000000001</v>
          </cell>
          <cell r="J276">
            <v>114.42750000000001</v>
          </cell>
          <cell r="K276">
            <v>98.55</v>
          </cell>
          <cell r="L276">
            <v>108.405</v>
          </cell>
          <cell r="M276">
            <v>93.075000000000003</v>
          </cell>
          <cell r="Q276">
            <v>0</v>
          </cell>
          <cell r="R276"/>
        </row>
        <row r="277">
          <cell r="A277" t="str">
            <v>OLIVETO</v>
          </cell>
          <cell r="H277">
            <v>141.9</v>
          </cell>
          <cell r="I277">
            <v>134.80500000000001</v>
          </cell>
          <cell r="J277">
            <v>148.28550000000001</v>
          </cell>
          <cell r="K277">
            <v>127.71000000000001</v>
          </cell>
          <cell r="L277">
            <v>140.48099999999999</v>
          </cell>
          <cell r="M277">
            <v>120.61500000000001</v>
          </cell>
          <cell r="Q277">
            <v>0.1</v>
          </cell>
          <cell r="R277" t="str">
            <v>NOVATEX
FEB 2026</v>
          </cell>
        </row>
        <row r="278">
          <cell r="A278" t="str">
            <v>OMARI</v>
          </cell>
          <cell r="H278">
            <v>295.89999999999998</v>
          </cell>
          <cell r="I278">
            <v>281.10499999999996</v>
          </cell>
          <cell r="J278">
            <v>309.21549999999996</v>
          </cell>
          <cell r="K278">
            <v>266.31</v>
          </cell>
          <cell r="L278">
            <v>292.94100000000003</v>
          </cell>
          <cell r="M278">
            <v>251.51499999999999</v>
          </cell>
          <cell r="Q278">
            <v>0.1</v>
          </cell>
          <cell r="R278"/>
        </row>
        <row r="279">
          <cell r="A279" t="str">
            <v>ONASIS</v>
          </cell>
          <cell r="H279">
            <v>464.23299999999995</v>
          </cell>
          <cell r="I279">
            <v>441.02134999999993</v>
          </cell>
          <cell r="J279">
            <v>485.12348499999996</v>
          </cell>
          <cell r="K279">
            <v>417.80969999999996</v>
          </cell>
          <cell r="L279">
            <v>459.59066999999993</v>
          </cell>
          <cell r="M279">
            <v>394.59804999999994</v>
          </cell>
          <cell r="Q279">
            <v>0.1</v>
          </cell>
          <cell r="R279" t="str">
            <v>DESC</v>
          </cell>
        </row>
        <row r="280">
          <cell r="A280" t="str">
            <v>OOLONG</v>
          </cell>
          <cell r="H280">
            <v>378.95</v>
          </cell>
          <cell r="I280">
            <v>360.0025</v>
          </cell>
          <cell r="J280">
            <v>396.00275000000005</v>
          </cell>
          <cell r="K280">
            <v>341.05500000000001</v>
          </cell>
          <cell r="L280">
            <v>375.16050000000001</v>
          </cell>
          <cell r="M280">
            <v>322.10750000000002</v>
          </cell>
          <cell r="Q280">
            <v>0.1</v>
          </cell>
          <cell r="R280"/>
        </row>
        <row r="281">
          <cell r="A281" t="str">
            <v>OPAL</v>
          </cell>
          <cell r="H281">
            <v>339.5</v>
          </cell>
          <cell r="I281">
            <v>322.52499999999998</v>
          </cell>
          <cell r="J281">
            <v>354.77750000000003</v>
          </cell>
          <cell r="K281">
            <v>305.55</v>
          </cell>
          <cell r="L281">
            <v>336.10500000000002</v>
          </cell>
          <cell r="M281">
            <v>288.57499999999999</v>
          </cell>
          <cell r="Q281">
            <v>0</v>
          </cell>
          <cell r="R281"/>
        </row>
        <row r="282">
          <cell r="A282" t="str">
            <v>OPULENCE</v>
          </cell>
          <cell r="H282">
            <v>129</v>
          </cell>
          <cell r="I282">
            <v>122.55</v>
          </cell>
          <cell r="J282">
            <v>134.80500000000001</v>
          </cell>
          <cell r="K282">
            <v>116.1</v>
          </cell>
          <cell r="L282">
            <v>127.71</v>
          </cell>
          <cell r="M282">
            <v>109.65</v>
          </cell>
          <cell r="Q282">
            <v>0</v>
          </cell>
          <cell r="R282"/>
        </row>
        <row r="283">
          <cell r="A283" t="str">
            <v>ORION</v>
          </cell>
          <cell r="H283">
            <v>378.95</v>
          </cell>
          <cell r="I283">
            <v>360.0025</v>
          </cell>
          <cell r="J283">
            <v>396.00275000000005</v>
          </cell>
          <cell r="K283">
            <v>341.05500000000001</v>
          </cell>
          <cell r="L283">
            <v>375.16050000000001</v>
          </cell>
          <cell r="M283">
            <v>322.10750000000002</v>
          </cell>
          <cell r="Q283">
            <v>0.1</v>
          </cell>
          <cell r="R283"/>
        </row>
        <row r="284">
          <cell r="A284" t="str">
            <v>ORSO</v>
          </cell>
          <cell r="H284">
            <v>543.29</v>
          </cell>
          <cell r="I284">
            <v>516.12549999999999</v>
          </cell>
          <cell r="J284">
            <v>567.73805000000004</v>
          </cell>
          <cell r="K284">
            <v>488.96099999999996</v>
          </cell>
          <cell r="L284">
            <v>537.85709999999995</v>
          </cell>
          <cell r="M284">
            <v>461.79649999999998</v>
          </cell>
          <cell r="Q284">
            <v>0.1</v>
          </cell>
          <cell r="R284" t="str">
            <v>NOVATEX</v>
          </cell>
        </row>
        <row r="285">
          <cell r="A285" t="str">
            <v>OSMAN</v>
          </cell>
          <cell r="H285">
            <v>708.32299999999998</v>
          </cell>
          <cell r="I285">
            <v>672.90684999999996</v>
          </cell>
          <cell r="J285">
            <v>740.19753500000002</v>
          </cell>
          <cell r="K285">
            <v>637.49069999999995</v>
          </cell>
          <cell r="L285">
            <v>701.23976999999991</v>
          </cell>
          <cell r="M285">
            <v>602.07455000000004</v>
          </cell>
          <cell r="Q285">
            <v>0.1</v>
          </cell>
          <cell r="R285"/>
        </row>
        <row r="286">
          <cell r="A286" t="str">
            <v>OUTRIGGER</v>
          </cell>
          <cell r="H286">
            <v>166.005</v>
          </cell>
          <cell r="I286">
            <v>157.70474999999999</v>
          </cell>
          <cell r="J286">
            <v>173.47522499999999</v>
          </cell>
          <cell r="K286">
            <v>149.40449999999998</v>
          </cell>
          <cell r="L286">
            <v>164.34494999999998</v>
          </cell>
          <cell r="M286">
            <v>141.10425000000001</v>
          </cell>
          <cell r="Q286">
            <v>0.05</v>
          </cell>
          <cell r="R286" t="str">
            <v>REVOLUTION</v>
          </cell>
        </row>
        <row r="287">
          <cell r="A287" t="str">
            <v>OXFORD</v>
          </cell>
          <cell r="H287">
            <v>109.45</v>
          </cell>
          <cell r="I287">
            <v>103.97750000000001</v>
          </cell>
          <cell r="J287">
            <v>114.37525000000002</v>
          </cell>
          <cell r="K287">
            <v>98.504999999999995</v>
          </cell>
          <cell r="L287">
            <v>108.35549999999999</v>
          </cell>
          <cell r="M287">
            <v>93.032499999999999</v>
          </cell>
          <cell r="Q287">
            <v>0.1</v>
          </cell>
          <cell r="R287"/>
        </row>
        <row r="288">
          <cell r="A288" t="str">
            <v>PACINO</v>
          </cell>
          <cell r="H288">
            <v>81.400000000000006</v>
          </cell>
          <cell r="I288">
            <v>77.330000000000013</v>
          </cell>
          <cell r="J288">
            <v>85.063000000000017</v>
          </cell>
          <cell r="K288">
            <v>73.260000000000005</v>
          </cell>
          <cell r="L288">
            <v>80.586000000000013</v>
          </cell>
          <cell r="M288">
            <v>69.19</v>
          </cell>
          <cell r="Q288">
            <v>0.1</v>
          </cell>
          <cell r="R288"/>
        </row>
        <row r="289">
          <cell r="A289" t="str">
            <v>PALERMO</v>
          </cell>
          <cell r="H289">
            <v>537.9</v>
          </cell>
          <cell r="I289">
            <v>511.005</v>
          </cell>
          <cell r="J289">
            <v>562.10550000000001</v>
          </cell>
          <cell r="K289">
            <v>484.10999999999996</v>
          </cell>
          <cell r="L289">
            <v>532.52099999999996</v>
          </cell>
          <cell r="M289">
            <v>457.21499999999997</v>
          </cell>
          <cell r="Q289">
            <v>0.1</v>
          </cell>
          <cell r="R289" t="str">
            <v>NOVATEX</v>
          </cell>
        </row>
        <row r="290">
          <cell r="A290" t="str">
            <v>PAMLICO</v>
          </cell>
          <cell r="H290">
            <v>513.97500000000002</v>
          </cell>
          <cell r="I290">
            <v>488.27625</v>
          </cell>
          <cell r="J290">
            <v>537.10387500000002</v>
          </cell>
          <cell r="K290">
            <v>462.57749999999999</v>
          </cell>
          <cell r="L290">
            <v>508.83524999999997</v>
          </cell>
          <cell r="M290">
            <v>436.87875000000003</v>
          </cell>
          <cell r="Q290">
            <v>0.05</v>
          </cell>
          <cell r="R290" t="str">
            <v>REVOLUTION</v>
          </cell>
        </row>
        <row r="291">
          <cell r="A291" t="str">
            <v>PAOLO</v>
          </cell>
          <cell r="H291">
            <v>204.49</v>
          </cell>
          <cell r="I291">
            <v>194.2655</v>
          </cell>
          <cell r="J291">
            <v>213.69205000000002</v>
          </cell>
          <cell r="K291">
            <v>184.041</v>
          </cell>
          <cell r="L291">
            <v>202.4451</v>
          </cell>
          <cell r="M291">
            <v>173.81650000000002</v>
          </cell>
          <cell r="Q291">
            <v>0.1</v>
          </cell>
          <cell r="R291" t="str">
            <v>NOVATEX</v>
          </cell>
        </row>
        <row r="292">
          <cell r="A292" t="str">
            <v xml:space="preserve">PASSION </v>
          </cell>
          <cell r="H292">
            <v>64.5</v>
          </cell>
          <cell r="I292">
            <v>61.274999999999999</v>
          </cell>
          <cell r="J292">
            <v>67.402500000000003</v>
          </cell>
          <cell r="K292">
            <v>58.05</v>
          </cell>
          <cell r="L292">
            <v>63.854999999999997</v>
          </cell>
          <cell r="M292">
            <v>54.825000000000003</v>
          </cell>
          <cell r="Q292">
            <v>0</v>
          </cell>
          <cell r="R292" t="str">
            <v>DESC</v>
          </cell>
        </row>
        <row r="293">
          <cell r="A293" t="str">
            <v>PEBBLE</v>
          </cell>
          <cell r="H293">
            <v>131.44999999999999</v>
          </cell>
          <cell r="I293">
            <v>124.87749999999998</v>
          </cell>
          <cell r="J293">
            <v>137.36525</v>
          </cell>
          <cell r="K293">
            <v>118.30499999999999</v>
          </cell>
          <cell r="L293">
            <v>130.13549999999998</v>
          </cell>
          <cell r="M293">
            <v>111.73249999999999</v>
          </cell>
          <cell r="Q293">
            <v>0.1</v>
          </cell>
          <cell r="R293"/>
        </row>
        <row r="294">
          <cell r="A294" t="str">
            <v>PENCIL</v>
          </cell>
          <cell r="H294">
            <v>332.98649999999998</v>
          </cell>
          <cell r="I294">
            <v>316.337175</v>
          </cell>
          <cell r="J294">
            <v>347.97089250000005</v>
          </cell>
          <cell r="K294">
            <v>299.68784999999997</v>
          </cell>
          <cell r="L294">
            <v>329.65663499999994</v>
          </cell>
          <cell r="M294">
            <v>283.03852499999999</v>
          </cell>
          <cell r="Q294">
            <v>0.05</v>
          </cell>
          <cell r="R294" t="str">
            <v>REVOLUTION
OUTDOOR</v>
          </cell>
        </row>
        <row r="295">
          <cell r="A295" t="str">
            <v>PEYTON</v>
          </cell>
          <cell r="H295">
            <v>197.45</v>
          </cell>
          <cell r="I295">
            <v>187.57749999999999</v>
          </cell>
          <cell r="J295">
            <v>206.33525</v>
          </cell>
          <cell r="K295">
            <v>177.70499999999998</v>
          </cell>
          <cell r="L295">
            <v>195.47549999999998</v>
          </cell>
          <cell r="M295">
            <v>167.83249999999998</v>
          </cell>
          <cell r="Q295">
            <v>0.1</v>
          </cell>
          <cell r="R295" t="str">
            <v>C-FREE</v>
          </cell>
        </row>
        <row r="296">
          <cell r="A296" t="str">
            <v>PIAZZA</v>
          </cell>
          <cell r="H296">
            <v>695.83800000000008</v>
          </cell>
          <cell r="I296">
            <v>661.04610000000002</v>
          </cell>
          <cell r="J296">
            <v>727.15071000000012</v>
          </cell>
          <cell r="K296">
            <v>626.25420000000008</v>
          </cell>
          <cell r="L296">
            <v>688.87962000000005</v>
          </cell>
          <cell r="M296">
            <v>591.46230000000003</v>
          </cell>
          <cell r="Q296">
            <v>0.1</v>
          </cell>
          <cell r="R296" t="str">
            <v>DESC</v>
          </cell>
        </row>
        <row r="297">
          <cell r="A297" t="str">
            <v>PICKET</v>
          </cell>
          <cell r="H297">
            <v>329</v>
          </cell>
          <cell r="I297">
            <v>312.55</v>
          </cell>
          <cell r="J297">
            <v>343.80500000000006</v>
          </cell>
          <cell r="K297">
            <v>296.10000000000002</v>
          </cell>
          <cell r="L297">
            <v>325.71000000000004</v>
          </cell>
          <cell r="M297">
            <v>279.64999999999998</v>
          </cell>
          <cell r="Q297">
            <v>0</v>
          </cell>
          <cell r="R297"/>
        </row>
        <row r="298">
          <cell r="A298" t="str">
            <v>PIER</v>
          </cell>
          <cell r="H298">
            <v>328.9</v>
          </cell>
          <cell r="I298">
            <v>312.45499999999998</v>
          </cell>
          <cell r="J298">
            <v>343.70050000000003</v>
          </cell>
          <cell r="K298">
            <v>296.01</v>
          </cell>
          <cell r="L298">
            <v>325.61099999999999</v>
          </cell>
          <cell r="M298">
            <v>279.565</v>
          </cell>
          <cell r="Q298">
            <v>0.1</v>
          </cell>
          <cell r="R298" t="str">
            <v>NOVATEX</v>
          </cell>
        </row>
        <row r="299">
          <cell r="A299" t="str">
            <v>PIXEL</v>
          </cell>
          <cell r="H299">
            <v>64</v>
          </cell>
          <cell r="I299">
            <v>60.8</v>
          </cell>
          <cell r="J299">
            <v>66.88</v>
          </cell>
          <cell r="K299">
            <v>57.6</v>
          </cell>
          <cell r="L299">
            <v>63.36</v>
          </cell>
          <cell r="M299">
            <v>54.4</v>
          </cell>
          <cell r="Q299">
            <v>0</v>
          </cell>
          <cell r="R299" t="str">
            <v>LONG LIFE
FEB 2026</v>
          </cell>
        </row>
        <row r="300">
          <cell r="A300" t="str">
            <v>PLAZA</v>
          </cell>
          <cell r="H300">
            <v>471.97500000000002</v>
          </cell>
          <cell r="I300">
            <v>448.37625000000003</v>
          </cell>
          <cell r="J300">
            <v>493.21387500000009</v>
          </cell>
          <cell r="K300">
            <v>424.77750000000003</v>
          </cell>
          <cell r="L300">
            <v>467.25525000000005</v>
          </cell>
          <cell r="M300">
            <v>401.17875000000004</v>
          </cell>
          <cell r="Q300">
            <v>0.05</v>
          </cell>
          <cell r="R300" t="str">
            <v>REVOLUTION</v>
          </cell>
        </row>
        <row r="301">
          <cell r="A301" t="str">
            <v>POINT</v>
          </cell>
          <cell r="H301">
            <v>236.4495</v>
          </cell>
          <cell r="I301">
            <v>224.627025</v>
          </cell>
          <cell r="J301">
            <v>247.08972750000004</v>
          </cell>
          <cell r="K301">
            <v>212.80455000000001</v>
          </cell>
          <cell r="L301">
            <v>234.08500500000002</v>
          </cell>
          <cell r="M301">
            <v>200.98207500000001</v>
          </cell>
          <cell r="Q301">
            <v>0.05</v>
          </cell>
          <cell r="R301" t="str">
            <v>REVOLUTION</v>
          </cell>
        </row>
        <row r="302">
          <cell r="A302" t="str">
            <v>POMPEII</v>
          </cell>
          <cell r="H302">
            <v>488.22399999999999</v>
          </cell>
          <cell r="I302">
            <v>463.81279999999998</v>
          </cell>
          <cell r="J302">
            <v>510.19408000000004</v>
          </cell>
          <cell r="K302">
            <v>439.40159999999997</v>
          </cell>
          <cell r="L302">
            <v>483.34175999999997</v>
          </cell>
          <cell r="M302">
            <v>414.99040000000002</v>
          </cell>
          <cell r="Q302">
            <v>0.1</v>
          </cell>
          <cell r="R302" t="str">
            <v>DESC</v>
          </cell>
        </row>
        <row r="303">
          <cell r="A303" t="str">
            <v>POPSTAR</v>
          </cell>
          <cell r="H303">
            <v>193.78800000000001</v>
          </cell>
          <cell r="I303">
            <v>184.0986</v>
          </cell>
          <cell r="J303">
            <v>202.50846000000001</v>
          </cell>
          <cell r="K303">
            <v>174.4092</v>
          </cell>
          <cell r="L303">
            <v>191.85012</v>
          </cell>
          <cell r="M303">
            <v>164.71980000000002</v>
          </cell>
          <cell r="Q303">
            <v>0.05</v>
          </cell>
          <cell r="R303" t="str">
            <v>REVOLUTION</v>
          </cell>
        </row>
        <row r="304">
          <cell r="A304" t="str">
            <v>PRAIRIE</v>
          </cell>
          <cell r="H304">
            <v>387.45</v>
          </cell>
          <cell r="I304">
            <v>368.07749999999999</v>
          </cell>
          <cell r="J304">
            <v>404.88525000000004</v>
          </cell>
          <cell r="K304">
            <v>348.70499999999998</v>
          </cell>
          <cell r="L304">
            <v>383.57549999999998</v>
          </cell>
          <cell r="M304">
            <v>329.33249999999998</v>
          </cell>
          <cell r="Q304">
            <v>0.05</v>
          </cell>
          <cell r="R304" t="str">
            <v>REVOLUTION</v>
          </cell>
        </row>
        <row r="305">
          <cell r="A305" t="str">
            <v>PRATO</v>
          </cell>
          <cell r="H305">
            <v>273.89999999999998</v>
          </cell>
          <cell r="I305">
            <v>260.20499999999998</v>
          </cell>
          <cell r="J305">
            <v>286.22550000000001</v>
          </cell>
          <cell r="K305">
            <v>246.51</v>
          </cell>
          <cell r="L305">
            <v>271.161</v>
          </cell>
          <cell r="M305">
            <v>232.815</v>
          </cell>
          <cell r="Q305">
            <v>0.1</v>
          </cell>
          <cell r="R305" t="str">
            <v>NOVATEX</v>
          </cell>
        </row>
        <row r="306">
          <cell r="A306" t="str">
            <v>PRESTIGE</v>
          </cell>
          <cell r="H306">
            <v>196.9</v>
          </cell>
          <cell r="I306">
            <v>187.05500000000001</v>
          </cell>
          <cell r="J306">
            <v>205.76050000000004</v>
          </cell>
          <cell r="K306">
            <v>177.21</v>
          </cell>
          <cell r="L306">
            <v>194.93100000000001</v>
          </cell>
          <cell r="M306">
            <v>167.36500000000001</v>
          </cell>
          <cell r="Q306">
            <v>0.1</v>
          </cell>
          <cell r="R306" t="str">
            <v>C-FREE</v>
          </cell>
        </row>
        <row r="307">
          <cell r="A307" t="str">
            <v>PRESTO</v>
          </cell>
          <cell r="H307">
            <v>186.45</v>
          </cell>
          <cell r="I307">
            <v>177.1275</v>
          </cell>
          <cell r="J307">
            <v>194.84025000000003</v>
          </cell>
          <cell r="K307">
            <v>167.80499999999998</v>
          </cell>
          <cell r="L307">
            <v>184.58549999999997</v>
          </cell>
          <cell r="M307">
            <v>158.48249999999999</v>
          </cell>
          <cell r="Q307">
            <v>0.1</v>
          </cell>
          <cell r="R307"/>
        </row>
        <row r="308">
          <cell r="A308" t="str">
            <v xml:space="preserve">PROHIBITION </v>
          </cell>
          <cell r="H308">
            <v>244.09</v>
          </cell>
          <cell r="I308">
            <v>231.88550000000001</v>
          </cell>
          <cell r="J308">
            <v>255.07405000000003</v>
          </cell>
          <cell r="K308">
            <v>219.68100000000001</v>
          </cell>
          <cell r="L308">
            <v>241.6491</v>
          </cell>
          <cell r="M308">
            <v>207.47649999999999</v>
          </cell>
          <cell r="Q308">
            <v>0</v>
          </cell>
          <cell r="R308" t="str">
            <v>REVOLUTION</v>
          </cell>
        </row>
        <row r="309">
          <cell r="A309" t="str">
            <v>QUARRY</v>
          </cell>
          <cell r="H309">
            <v>372.9</v>
          </cell>
          <cell r="I309">
            <v>354.255</v>
          </cell>
          <cell r="J309">
            <v>389.68050000000005</v>
          </cell>
          <cell r="K309">
            <v>335.60999999999996</v>
          </cell>
          <cell r="L309">
            <v>369.17099999999994</v>
          </cell>
          <cell r="M309">
            <v>316.96499999999997</v>
          </cell>
          <cell r="Q309">
            <v>0.1</v>
          </cell>
          <cell r="R309" t="str">
            <v>DESC</v>
          </cell>
        </row>
        <row r="310">
          <cell r="A310" t="str">
            <v>QUE</v>
          </cell>
          <cell r="H310">
            <v>427.9</v>
          </cell>
          <cell r="I310">
            <v>406.505</v>
          </cell>
          <cell r="J310">
            <v>447.15550000000002</v>
          </cell>
          <cell r="K310">
            <v>385.10999999999996</v>
          </cell>
          <cell r="L310">
            <v>423.62099999999998</v>
          </cell>
          <cell r="M310">
            <v>363.71499999999997</v>
          </cell>
          <cell r="Q310">
            <v>0.1</v>
          </cell>
          <cell r="R310"/>
        </row>
        <row r="311">
          <cell r="A311" t="str">
            <v>QUINCY</v>
          </cell>
          <cell r="H311">
            <v>82.95</v>
          </cell>
          <cell r="I311">
            <v>78.802500000000009</v>
          </cell>
          <cell r="J311">
            <v>86.682750000000013</v>
          </cell>
          <cell r="K311">
            <v>74.655000000000001</v>
          </cell>
          <cell r="L311">
            <v>82.120500000000007</v>
          </cell>
          <cell r="M311">
            <v>70.507500000000007</v>
          </cell>
          <cell r="Q311">
            <v>0.05</v>
          </cell>
          <cell r="R311"/>
        </row>
        <row r="312">
          <cell r="A312" t="str">
            <v>RAG-RUG</v>
          </cell>
          <cell r="H312">
            <v>460.95</v>
          </cell>
          <cell r="I312">
            <v>437.90249999999997</v>
          </cell>
          <cell r="J312">
            <v>481.69274999999999</v>
          </cell>
          <cell r="K312">
            <v>414.85500000000002</v>
          </cell>
          <cell r="L312">
            <v>456.34050000000002</v>
          </cell>
          <cell r="M312">
            <v>391.8075</v>
          </cell>
          <cell r="Q312">
            <v>0.05</v>
          </cell>
          <cell r="R312" t="str">
            <v>REVOLUTION</v>
          </cell>
        </row>
        <row r="313">
          <cell r="A313" t="str">
            <v>RAPTURE</v>
          </cell>
          <cell r="H313">
            <v>480.12800000000004</v>
          </cell>
          <cell r="I313">
            <v>456.12160000000006</v>
          </cell>
          <cell r="J313">
            <v>501.73376000000013</v>
          </cell>
          <cell r="K313">
            <v>432.11520000000002</v>
          </cell>
          <cell r="L313">
            <v>475.32672000000002</v>
          </cell>
          <cell r="M313">
            <v>408.10880000000003</v>
          </cell>
          <cell r="Q313">
            <v>0.1</v>
          </cell>
          <cell r="R313" t="str">
            <v>DESC</v>
          </cell>
        </row>
        <row r="314">
          <cell r="A314" t="str">
            <v>RAYOS</v>
          </cell>
          <cell r="H314">
            <v>170.28</v>
          </cell>
          <cell r="I314">
            <v>161.76599999999999</v>
          </cell>
          <cell r="J314">
            <v>177.9426</v>
          </cell>
          <cell r="K314">
            <v>153.25200000000001</v>
          </cell>
          <cell r="L314">
            <v>168.5772</v>
          </cell>
          <cell r="M314">
            <v>144.738</v>
          </cell>
          <cell r="Q314">
            <v>0.1</v>
          </cell>
          <cell r="R314"/>
        </row>
        <row r="315">
          <cell r="A315" t="str">
            <v xml:space="preserve">REEF </v>
          </cell>
          <cell r="H315">
            <v>526.9</v>
          </cell>
          <cell r="I315">
            <v>500.55499999999995</v>
          </cell>
          <cell r="J315">
            <v>550.6105</v>
          </cell>
          <cell r="K315">
            <v>474.21</v>
          </cell>
          <cell r="L315">
            <v>521.63099999999997</v>
          </cell>
          <cell r="M315">
            <v>447.86500000000001</v>
          </cell>
          <cell r="Q315">
            <v>0.1</v>
          </cell>
          <cell r="R315" t="str">
            <v>SUNBELIEVABLE</v>
          </cell>
        </row>
        <row r="316">
          <cell r="A316" t="str">
            <v>REFLECT</v>
          </cell>
          <cell r="H316">
            <v>74</v>
          </cell>
          <cell r="I316">
            <v>70.3</v>
          </cell>
          <cell r="J316">
            <v>77.33</v>
          </cell>
          <cell r="K316">
            <v>66.599999999999994</v>
          </cell>
          <cell r="L316">
            <v>73.259999999999991</v>
          </cell>
          <cell r="M316">
            <v>62.9</v>
          </cell>
          <cell r="Q316">
            <v>0</v>
          </cell>
          <cell r="R316"/>
        </row>
        <row r="317">
          <cell r="A317" t="str">
            <v>RHONA</v>
          </cell>
          <cell r="H317">
            <v>103.4</v>
          </cell>
          <cell r="I317">
            <v>98.23</v>
          </cell>
          <cell r="J317">
            <v>108.05300000000001</v>
          </cell>
          <cell r="K317">
            <v>93.06</v>
          </cell>
          <cell r="L317">
            <v>102.366</v>
          </cell>
          <cell r="M317">
            <v>87.89</v>
          </cell>
          <cell r="Q317">
            <v>0.1</v>
          </cell>
          <cell r="R317" t="str">
            <v>LONG LIFE
FEB 2026</v>
          </cell>
        </row>
        <row r="318">
          <cell r="A318" t="str">
            <v>RICOCHET</v>
          </cell>
          <cell r="H318">
            <v>219.97499999999999</v>
          </cell>
          <cell r="I318">
            <v>208.97624999999999</v>
          </cell>
          <cell r="J318">
            <v>229.873875</v>
          </cell>
          <cell r="K318">
            <v>197.97749999999999</v>
          </cell>
          <cell r="L318">
            <v>217.77525</v>
          </cell>
          <cell r="M318">
            <v>186.97874999999999</v>
          </cell>
          <cell r="Q318">
            <v>0.05</v>
          </cell>
          <cell r="R318" t="str">
            <v>REVOLUTION</v>
          </cell>
        </row>
        <row r="319">
          <cell r="A319" t="str">
            <v>RIO</v>
          </cell>
          <cell r="H319">
            <v>198.45</v>
          </cell>
          <cell r="I319">
            <v>188.52749999999997</v>
          </cell>
          <cell r="J319">
            <v>207.38024999999999</v>
          </cell>
          <cell r="K319">
            <v>178.60499999999999</v>
          </cell>
          <cell r="L319">
            <v>196.46549999999999</v>
          </cell>
          <cell r="M319">
            <v>168.6825</v>
          </cell>
          <cell r="Q319">
            <v>0.05</v>
          </cell>
          <cell r="R319" t="str">
            <v>REVOLUTION</v>
          </cell>
        </row>
        <row r="320">
          <cell r="A320" t="str">
            <v>RIVA</v>
          </cell>
          <cell r="H320">
            <v>163.9</v>
          </cell>
          <cell r="I320">
            <v>155.70500000000001</v>
          </cell>
          <cell r="J320">
            <v>171.27550000000002</v>
          </cell>
          <cell r="K320">
            <v>147.51</v>
          </cell>
          <cell r="L320">
            <v>162.261</v>
          </cell>
          <cell r="M320">
            <v>139.315</v>
          </cell>
          <cell r="Q320">
            <v>0.1</v>
          </cell>
          <cell r="R320" t="str">
            <v>NOVATEX
FEB 2026</v>
          </cell>
        </row>
        <row r="321">
          <cell r="A321" t="str">
            <v>ROLO</v>
          </cell>
          <cell r="H321">
            <v>350.9</v>
          </cell>
          <cell r="I321">
            <v>333.35499999999996</v>
          </cell>
          <cell r="J321">
            <v>366.69049999999999</v>
          </cell>
          <cell r="K321">
            <v>315.81</v>
          </cell>
          <cell r="L321">
            <v>347.39100000000002</v>
          </cell>
          <cell r="M321">
            <v>298.26499999999999</v>
          </cell>
          <cell r="Q321">
            <v>0.1</v>
          </cell>
          <cell r="R321"/>
        </row>
        <row r="322">
          <cell r="A322" t="str">
            <v>ROMANI</v>
          </cell>
          <cell r="H322">
            <v>218.9</v>
          </cell>
          <cell r="I322">
            <v>207.95500000000001</v>
          </cell>
          <cell r="J322">
            <v>228.75050000000005</v>
          </cell>
          <cell r="K322">
            <v>197.01</v>
          </cell>
          <cell r="L322">
            <v>216.71099999999998</v>
          </cell>
          <cell r="M322">
            <v>186.065</v>
          </cell>
          <cell r="Q322">
            <v>0.1</v>
          </cell>
          <cell r="R322" t="str">
            <v>NOVATEX</v>
          </cell>
        </row>
        <row r="323">
          <cell r="A323" t="str">
            <v>ROMEO</v>
          </cell>
          <cell r="H323">
            <v>251.9</v>
          </cell>
          <cell r="I323">
            <v>239.30500000000001</v>
          </cell>
          <cell r="J323">
            <v>263.2355</v>
          </cell>
          <cell r="K323">
            <v>226.71</v>
          </cell>
          <cell r="L323">
            <v>249.381</v>
          </cell>
          <cell r="M323">
            <v>214.11500000000001</v>
          </cell>
          <cell r="Q323">
            <v>0.1</v>
          </cell>
          <cell r="R323" t="str">
            <v>NOVATEX</v>
          </cell>
        </row>
        <row r="324">
          <cell r="A324" t="str">
            <v>RONDA</v>
          </cell>
          <cell r="H324">
            <v>76.45</v>
          </cell>
          <cell r="I324">
            <v>72.627499999999998</v>
          </cell>
          <cell r="J324">
            <v>79.890250000000009</v>
          </cell>
          <cell r="K324">
            <v>68.805000000000007</v>
          </cell>
          <cell r="L324">
            <v>75.685500000000005</v>
          </cell>
          <cell r="M324">
            <v>64.982500000000002</v>
          </cell>
          <cell r="Q324">
            <v>0.1</v>
          </cell>
          <cell r="R324" t="str">
            <v>DESC</v>
          </cell>
        </row>
        <row r="325">
          <cell r="A325" t="str">
            <v>ROSLYN</v>
          </cell>
          <cell r="H325">
            <v>135.44999999999999</v>
          </cell>
          <cell r="I325">
            <v>128.67749999999998</v>
          </cell>
          <cell r="J325">
            <v>141.54524999999998</v>
          </cell>
          <cell r="K325">
            <v>121.90499999999999</v>
          </cell>
          <cell r="L325">
            <v>134.09549999999999</v>
          </cell>
          <cell r="M325">
            <v>115.13249999999999</v>
          </cell>
          <cell r="Q325">
            <v>0.05</v>
          </cell>
          <cell r="R325" t="str">
            <v>REVOLUTION
FEB 2026</v>
          </cell>
        </row>
        <row r="326">
          <cell r="A326" t="str">
            <v>RUBAN</v>
          </cell>
          <cell r="H326">
            <v>438.9</v>
          </cell>
          <cell r="I326">
            <v>416.95499999999998</v>
          </cell>
          <cell r="J326">
            <v>458.65050000000002</v>
          </cell>
          <cell r="K326">
            <v>395.01</v>
          </cell>
          <cell r="L326">
            <v>434.51099999999997</v>
          </cell>
          <cell r="M326">
            <v>373.065</v>
          </cell>
          <cell r="Q326">
            <v>0.1</v>
          </cell>
          <cell r="R326"/>
        </row>
        <row r="327">
          <cell r="A327" t="str">
            <v>RUMBA</v>
          </cell>
          <cell r="H327">
            <v>292.35149999999999</v>
          </cell>
          <cell r="I327">
            <v>277.733925</v>
          </cell>
          <cell r="J327">
            <v>305.5073175</v>
          </cell>
          <cell r="K327">
            <v>263.11635000000001</v>
          </cell>
          <cell r="L327">
            <v>289.42798500000004</v>
          </cell>
          <cell r="M327">
            <v>248.49877499999999</v>
          </cell>
          <cell r="Q327">
            <v>0.05</v>
          </cell>
          <cell r="R327" t="str">
            <v>REVOLUTION
OUTDOOR</v>
          </cell>
        </row>
        <row r="328">
          <cell r="A328" t="str">
            <v>RUSTY</v>
          </cell>
          <cell r="H328">
            <v>166.95</v>
          </cell>
          <cell r="I328">
            <v>158.60249999999999</v>
          </cell>
          <cell r="J328">
            <v>174.46275</v>
          </cell>
          <cell r="K328">
            <v>150.255</v>
          </cell>
          <cell r="L328">
            <v>165.28049999999999</v>
          </cell>
          <cell r="M328">
            <v>141.9075</v>
          </cell>
          <cell r="Q328">
            <v>0.05</v>
          </cell>
          <cell r="R328" t="str">
            <v>LONG LIFE
FEB 2026</v>
          </cell>
        </row>
        <row r="329">
          <cell r="A329" t="str">
            <v>RYDER</v>
          </cell>
          <cell r="H329">
            <v>383.9</v>
          </cell>
          <cell r="I329">
            <v>364.70499999999998</v>
          </cell>
          <cell r="J329">
            <v>401.1755</v>
          </cell>
          <cell r="K329">
            <v>345.51</v>
          </cell>
          <cell r="L329">
            <v>380.06099999999998</v>
          </cell>
          <cell r="M329">
            <v>326.315</v>
          </cell>
          <cell r="Q329">
            <v>0.1</v>
          </cell>
          <cell r="R329"/>
        </row>
        <row r="330">
          <cell r="A330" t="str">
            <v>SABBIA</v>
          </cell>
          <cell r="H330">
            <v>207.9</v>
          </cell>
          <cell r="I330">
            <v>197.505</v>
          </cell>
          <cell r="J330">
            <v>217.25550000000001</v>
          </cell>
          <cell r="K330">
            <v>187.11</v>
          </cell>
          <cell r="L330">
            <v>205.82100000000003</v>
          </cell>
          <cell r="M330">
            <v>176.715</v>
          </cell>
          <cell r="Q330">
            <v>0.1</v>
          </cell>
          <cell r="R330" t="str">
            <v>NOVATEX
FEB 2026</v>
          </cell>
        </row>
        <row r="331">
          <cell r="A331" t="str">
            <v>SAHARA</v>
          </cell>
          <cell r="H331">
            <v>241.45</v>
          </cell>
          <cell r="I331">
            <v>229.3775</v>
          </cell>
          <cell r="J331">
            <v>252.31525000000002</v>
          </cell>
          <cell r="K331">
            <v>217.30499999999998</v>
          </cell>
          <cell r="L331">
            <v>239.03549999999998</v>
          </cell>
          <cell r="M331">
            <v>205.23249999999999</v>
          </cell>
          <cell r="Q331">
            <v>0.1</v>
          </cell>
          <cell r="R331" t="str">
            <v>DESC</v>
          </cell>
        </row>
        <row r="332">
          <cell r="A332" t="str">
            <v>SAILAWAY</v>
          </cell>
          <cell r="H332">
            <v>614.9</v>
          </cell>
          <cell r="I332">
            <v>584.15499999999997</v>
          </cell>
          <cell r="J332">
            <v>642.57050000000004</v>
          </cell>
          <cell r="K332">
            <v>553.41</v>
          </cell>
          <cell r="L332">
            <v>608.75099999999998</v>
          </cell>
          <cell r="M332">
            <v>522.66499999999996</v>
          </cell>
          <cell r="Q332">
            <v>0.1</v>
          </cell>
          <cell r="R332" t="str">
            <v>SUNBELIEVABLE</v>
          </cell>
        </row>
        <row r="333">
          <cell r="A333" t="str">
            <v>SALVATORE</v>
          </cell>
          <cell r="H333">
            <v>930.49</v>
          </cell>
          <cell r="I333">
            <v>883.96550000000002</v>
          </cell>
          <cell r="J333">
            <v>972.36205000000007</v>
          </cell>
          <cell r="K333">
            <v>837.44100000000003</v>
          </cell>
          <cell r="L333">
            <v>921.18510000000003</v>
          </cell>
          <cell r="M333">
            <v>790.91650000000004</v>
          </cell>
          <cell r="Q333">
            <v>0.1</v>
          </cell>
          <cell r="R333" t="str">
            <v>NOVATEX</v>
          </cell>
        </row>
        <row r="334">
          <cell r="A334" t="str">
            <v>SAMBA</v>
          </cell>
          <cell r="H334">
            <v>350.9</v>
          </cell>
          <cell r="I334">
            <v>333.35499999999996</v>
          </cell>
          <cell r="J334">
            <v>366.69049999999999</v>
          </cell>
          <cell r="K334">
            <v>315.81</v>
          </cell>
          <cell r="L334">
            <v>347.39100000000002</v>
          </cell>
          <cell r="M334">
            <v>298.26499999999999</v>
          </cell>
          <cell r="Q334">
            <v>0.1</v>
          </cell>
          <cell r="R334"/>
        </row>
        <row r="335">
          <cell r="A335" t="str">
            <v>SAMOA</v>
          </cell>
          <cell r="H335">
            <v>383.9</v>
          </cell>
          <cell r="I335">
            <v>364.70499999999998</v>
          </cell>
          <cell r="J335">
            <v>401.1755</v>
          </cell>
          <cell r="K335">
            <v>345.51</v>
          </cell>
          <cell r="L335">
            <v>380.06099999999998</v>
          </cell>
          <cell r="M335">
            <v>326.315</v>
          </cell>
          <cell r="Q335">
            <v>0.1</v>
          </cell>
          <cell r="R335"/>
        </row>
        <row r="336">
          <cell r="A336" t="str">
            <v>SAN REMO</v>
          </cell>
          <cell r="H336">
            <v>307.45</v>
          </cell>
          <cell r="I336">
            <v>292.07749999999999</v>
          </cell>
          <cell r="J336">
            <v>321.28525000000002</v>
          </cell>
          <cell r="K336">
            <v>276.70499999999998</v>
          </cell>
          <cell r="L336">
            <v>304.37549999999999</v>
          </cell>
          <cell r="M336">
            <v>261.33249999999998</v>
          </cell>
          <cell r="Q336">
            <v>0.1</v>
          </cell>
          <cell r="R336"/>
        </row>
        <row r="337">
          <cell r="A337" t="str">
            <v>SAPPHIRE</v>
          </cell>
          <cell r="H337">
            <v>399.5</v>
          </cell>
          <cell r="I337">
            <v>379.52499999999998</v>
          </cell>
          <cell r="J337">
            <v>417.47750000000002</v>
          </cell>
          <cell r="K337">
            <v>359.55</v>
          </cell>
          <cell r="L337">
            <v>395.505</v>
          </cell>
          <cell r="M337">
            <v>339.57499999999999</v>
          </cell>
          <cell r="Q337">
            <v>0</v>
          </cell>
          <cell r="R337"/>
        </row>
        <row r="338">
          <cell r="A338" t="str">
            <v>SARA</v>
          </cell>
          <cell r="H338">
            <v>252.45</v>
          </cell>
          <cell r="I338">
            <v>239.82749999999999</v>
          </cell>
          <cell r="J338">
            <v>263.81025</v>
          </cell>
          <cell r="K338">
            <v>227.20499999999998</v>
          </cell>
          <cell r="L338">
            <v>249.9255</v>
          </cell>
          <cell r="M338">
            <v>214.58249999999998</v>
          </cell>
          <cell r="Q338">
            <v>0.1</v>
          </cell>
          <cell r="R338" t="str">
            <v>SORELLA
SHEER</v>
          </cell>
        </row>
        <row r="339">
          <cell r="A339" t="str">
            <v>SASSARI</v>
          </cell>
          <cell r="H339">
            <v>385.98999999999995</v>
          </cell>
          <cell r="I339">
            <v>366.69049999999993</v>
          </cell>
          <cell r="J339">
            <v>403.35954999999996</v>
          </cell>
          <cell r="K339">
            <v>347.39099999999996</v>
          </cell>
          <cell r="L339">
            <v>382.13009999999997</v>
          </cell>
          <cell r="M339">
            <v>328.09149999999994</v>
          </cell>
          <cell r="Q339">
            <v>0.1</v>
          </cell>
          <cell r="R339" t="str">
            <v>NOVATEX</v>
          </cell>
        </row>
        <row r="340">
          <cell r="A340" t="str">
            <v>SCAR</v>
          </cell>
          <cell r="H340">
            <v>109.2</v>
          </cell>
          <cell r="I340">
            <v>103.74000000000001</v>
          </cell>
          <cell r="J340">
            <v>114.11400000000002</v>
          </cell>
          <cell r="K340">
            <v>98.28</v>
          </cell>
          <cell r="L340">
            <v>108.108</v>
          </cell>
          <cell r="M340">
            <v>92.820000000000007</v>
          </cell>
          <cell r="Q340">
            <v>0.05</v>
          </cell>
          <cell r="R340" t="str">
            <v>LONG LIFE
FEB 2026</v>
          </cell>
        </row>
        <row r="341">
          <cell r="A341" t="str">
            <v>SCOTTSDALE</v>
          </cell>
          <cell r="H341">
            <v>185.9</v>
          </cell>
          <cell r="I341">
            <v>176.60500000000002</v>
          </cell>
          <cell r="J341">
            <v>194.26550000000003</v>
          </cell>
          <cell r="K341">
            <v>167.31</v>
          </cell>
          <cell r="L341">
            <v>184.041</v>
          </cell>
          <cell r="M341">
            <v>158.01500000000001</v>
          </cell>
          <cell r="Q341">
            <v>0.1</v>
          </cell>
          <cell r="R341"/>
        </row>
        <row r="342">
          <cell r="A342" t="str">
            <v xml:space="preserve">SEA &amp; GARDEN </v>
          </cell>
          <cell r="H342">
            <v>295.89999999999998</v>
          </cell>
          <cell r="I342">
            <v>281.10499999999996</v>
          </cell>
          <cell r="J342">
            <v>309.21549999999996</v>
          </cell>
          <cell r="K342">
            <v>266.31</v>
          </cell>
          <cell r="L342">
            <v>292.94100000000003</v>
          </cell>
          <cell r="M342">
            <v>251.51499999999999</v>
          </cell>
          <cell r="Q342">
            <v>0.1</v>
          </cell>
          <cell r="R342" t="str">
            <v>DESC</v>
          </cell>
        </row>
        <row r="343">
          <cell r="A343" t="str">
            <v>SEADOG</v>
          </cell>
          <cell r="H343">
            <v>350.9</v>
          </cell>
          <cell r="I343">
            <v>333.35499999999996</v>
          </cell>
          <cell r="J343">
            <v>366.69049999999999</v>
          </cell>
          <cell r="K343">
            <v>315.81</v>
          </cell>
          <cell r="L343">
            <v>347.39100000000002</v>
          </cell>
          <cell r="M343">
            <v>298.26499999999999</v>
          </cell>
          <cell r="Q343">
            <v>0.1</v>
          </cell>
          <cell r="R343" t="str">
            <v>SUNBELIEVABLE</v>
          </cell>
        </row>
        <row r="344">
          <cell r="A344" t="str">
            <v>SEAPORT</v>
          </cell>
          <cell r="H344">
            <v>303.63900000000001</v>
          </cell>
          <cell r="I344">
            <v>288.45704999999998</v>
          </cell>
          <cell r="J344">
            <v>317.30275499999999</v>
          </cell>
          <cell r="K344">
            <v>273.27510000000001</v>
          </cell>
          <cell r="L344">
            <v>300.60261000000003</v>
          </cell>
          <cell r="M344">
            <v>258.09315000000004</v>
          </cell>
          <cell r="Q344">
            <v>0.05</v>
          </cell>
          <cell r="R344" t="str">
            <v>REVOLUTION
OUTDOOR</v>
          </cell>
        </row>
        <row r="345">
          <cell r="A345" t="str">
            <v>SECRET</v>
          </cell>
          <cell r="H345">
            <v>119</v>
          </cell>
          <cell r="I345">
            <v>113.05</v>
          </cell>
          <cell r="J345">
            <v>124.355</v>
          </cell>
          <cell r="K345">
            <v>107.1</v>
          </cell>
          <cell r="L345">
            <v>117.81</v>
          </cell>
          <cell r="M345">
            <v>101.15</v>
          </cell>
          <cell r="Q345">
            <v>0</v>
          </cell>
          <cell r="R345"/>
        </row>
        <row r="346">
          <cell r="A346" t="str">
            <v>SHEEBA</v>
          </cell>
          <cell r="H346">
            <v>513.97500000000002</v>
          </cell>
          <cell r="I346">
            <v>488.27625</v>
          </cell>
          <cell r="J346">
            <v>537.10387500000002</v>
          </cell>
          <cell r="K346">
            <v>462.57749999999999</v>
          </cell>
          <cell r="L346">
            <v>508.83524999999997</v>
          </cell>
          <cell r="M346">
            <v>436.87875000000003</v>
          </cell>
          <cell r="Q346">
            <v>0.05</v>
          </cell>
          <cell r="R346" t="str">
            <v>REVOLUTION</v>
          </cell>
        </row>
        <row r="347">
          <cell r="A347" t="str">
            <v>SHETLAND</v>
          </cell>
          <cell r="H347">
            <v>194.5</v>
          </cell>
          <cell r="I347">
            <v>184.77500000000001</v>
          </cell>
          <cell r="J347">
            <v>203.25250000000003</v>
          </cell>
          <cell r="K347">
            <v>175.05</v>
          </cell>
          <cell r="L347">
            <v>192.55500000000001</v>
          </cell>
          <cell r="M347">
            <v>165.32499999999999</v>
          </cell>
          <cell r="Q347">
            <v>0</v>
          </cell>
          <cell r="R347"/>
        </row>
        <row r="348">
          <cell r="A348" t="str">
            <v>SHIVER</v>
          </cell>
          <cell r="H348">
            <v>450.45</v>
          </cell>
          <cell r="I348">
            <v>427.92750000000001</v>
          </cell>
          <cell r="J348">
            <v>470.72025000000002</v>
          </cell>
          <cell r="K348">
            <v>405.40499999999997</v>
          </cell>
          <cell r="L348">
            <v>445.94549999999998</v>
          </cell>
          <cell r="M348">
            <v>382.88249999999999</v>
          </cell>
          <cell r="Q348">
            <v>0.05</v>
          </cell>
          <cell r="R348" t="str">
            <v>REVOLUTION</v>
          </cell>
        </row>
        <row r="349">
          <cell r="A349" t="str">
            <v>SICILIA</v>
          </cell>
          <cell r="H349">
            <v>185.9</v>
          </cell>
          <cell r="I349">
            <v>176.60500000000002</v>
          </cell>
          <cell r="J349">
            <v>194.26550000000003</v>
          </cell>
          <cell r="K349">
            <v>167.31</v>
          </cell>
          <cell r="L349">
            <v>184.041</v>
          </cell>
          <cell r="M349">
            <v>158.01500000000001</v>
          </cell>
          <cell r="Q349">
            <v>0.1</v>
          </cell>
          <cell r="R349" t="str">
            <v>NOVATEX</v>
          </cell>
        </row>
        <row r="350">
          <cell r="A350" t="str">
            <v>SIENA</v>
          </cell>
          <cell r="H350">
            <v>177.97499999999999</v>
          </cell>
          <cell r="I350">
            <v>169.07624999999999</v>
          </cell>
          <cell r="J350">
            <v>185.98387500000001</v>
          </cell>
          <cell r="K350">
            <v>160.17750000000001</v>
          </cell>
          <cell r="L350">
            <v>176.19525000000002</v>
          </cell>
          <cell r="M350">
            <v>151.27875</v>
          </cell>
          <cell r="Q350">
            <v>0.05</v>
          </cell>
          <cell r="R350"/>
        </row>
        <row r="351">
          <cell r="A351" t="str">
            <v>SKADDAN</v>
          </cell>
          <cell r="H351">
            <v>322.10199999999998</v>
          </cell>
          <cell r="I351">
            <v>305.99689999999998</v>
          </cell>
          <cell r="J351">
            <v>336.59658999999999</v>
          </cell>
          <cell r="K351">
            <v>289.89179999999999</v>
          </cell>
          <cell r="L351">
            <v>318.88097999999997</v>
          </cell>
          <cell r="M351">
            <v>273.7867</v>
          </cell>
          <cell r="Q351">
            <v>0.1</v>
          </cell>
          <cell r="R351" t="str">
            <v>DESC</v>
          </cell>
        </row>
        <row r="352">
          <cell r="A352" t="str">
            <v>SKYBOX</v>
          </cell>
          <cell r="H352">
            <v>361.9</v>
          </cell>
          <cell r="I352">
            <v>343.80499999999995</v>
          </cell>
          <cell r="J352">
            <v>378.18549999999999</v>
          </cell>
          <cell r="K352">
            <v>325.70999999999998</v>
          </cell>
          <cell r="L352">
            <v>358.28099999999995</v>
          </cell>
          <cell r="M352">
            <v>307.61500000000001</v>
          </cell>
          <cell r="Q352">
            <v>0.1</v>
          </cell>
          <cell r="R352"/>
        </row>
        <row r="353">
          <cell r="A353" t="str">
            <v>SKYLAR</v>
          </cell>
          <cell r="H353">
            <v>394.9</v>
          </cell>
          <cell r="I353">
            <v>375.15499999999997</v>
          </cell>
          <cell r="J353">
            <v>412.6705</v>
          </cell>
          <cell r="K353">
            <v>355.40999999999997</v>
          </cell>
          <cell r="L353">
            <v>390.95099999999996</v>
          </cell>
          <cell r="M353">
            <v>335.66499999999996</v>
          </cell>
          <cell r="Q353">
            <v>0.1</v>
          </cell>
          <cell r="R353"/>
        </row>
        <row r="354">
          <cell r="A354" t="str">
            <v>SNOWDON</v>
          </cell>
          <cell r="H354">
            <v>438.9</v>
          </cell>
          <cell r="I354">
            <v>416.95499999999998</v>
          </cell>
          <cell r="J354">
            <v>458.65050000000002</v>
          </cell>
          <cell r="K354">
            <v>395.01</v>
          </cell>
          <cell r="L354">
            <v>434.51099999999997</v>
          </cell>
          <cell r="M354">
            <v>373.065</v>
          </cell>
          <cell r="Q354">
            <v>0.1</v>
          </cell>
          <cell r="R354"/>
        </row>
        <row r="355">
          <cell r="A355" t="str">
            <v>SOHO</v>
          </cell>
          <cell r="H355">
            <v>109.45</v>
          </cell>
          <cell r="I355">
            <v>103.97750000000001</v>
          </cell>
          <cell r="J355">
            <v>114.37525000000002</v>
          </cell>
          <cell r="K355">
            <v>98.504999999999995</v>
          </cell>
          <cell r="L355">
            <v>108.35549999999999</v>
          </cell>
          <cell r="M355">
            <v>93.032499999999999</v>
          </cell>
          <cell r="Q355">
            <v>0.1</v>
          </cell>
          <cell r="R355" t="str">
            <v>DESC</v>
          </cell>
        </row>
        <row r="356">
          <cell r="A356" t="str">
            <v>SOLID</v>
          </cell>
          <cell r="H356">
            <v>69</v>
          </cell>
          <cell r="I356">
            <v>65.55</v>
          </cell>
          <cell r="J356">
            <v>72.105000000000004</v>
          </cell>
          <cell r="K356">
            <v>62.1</v>
          </cell>
          <cell r="L356">
            <v>68.31</v>
          </cell>
          <cell r="M356">
            <v>58.65</v>
          </cell>
          <cell r="Q356">
            <v>0</v>
          </cell>
          <cell r="R356"/>
        </row>
        <row r="357">
          <cell r="A357" t="str">
            <v>SOMERFIELD</v>
          </cell>
          <cell r="H357">
            <v>422.63099999999997</v>
          </cell>
          <cell r="I357">
            <v>401.49944999999997</v>
          </cell>
          <cell r="J357">
            <v>441.64939500000003</v>
          </cell>
          <cell r="K357">
            <v>380.36789999999996</v>
          </cell>
          <cell r="L357">
            <v>418.40468999999996</v>
          </cell>
          <cell r="M357">
            <v>359.23634999999996</v>
          </cell>
          <cell r="Q357">
            <v>0.1</v>
          </cell>
          <cell r="R357" t="str">
            <v>DESC</v>
          </cell>
        </row>
        <row r="358">
          <cell r="A358" t="str">
            <v>SORELLA</v>
          </cell>
          <cell r="H358">
            <v>273.89999999999998</v>
          </cell>
          <cell r="I358">
            <v>260.20499999999998</v>
          </cell>
          <cell r="J358">
            <v>286.22550000000001</v>
          </cell>
          <cell r="K358">
            <v>246.51</v>
          </cell>
          <cell r="L358">
            <v>271.161</v>
          </cell>
          <cell r="M358">
            <v>232.815</v>
          </cell>
          <cell r="Q358">
            <v>0.1</v>
          </cell>
          <cell r="R358" t="str">
            <v>NOVATEX</v>
          </cell>
        </row>
        <row r="359">
          <cell r="A359" t="str">
            <v>SOULMATE</v>
          </cell>
          <cell r="H359">
            <v>332.29899999999998</v>
          </cell>
          <cell r="I359">
            <v>315.68404999999996</v>
          </cell>
          <cell r="J359">
            <v>347.252455</v>
          </cell>
          <cell r="K359">
            <v>299.06909999999999</v>
          </cell>
          <cell r="L359">
            <v>328.97600999999997</v>
          </cell>
          <cell r="M359">
            <v>282.45414999999997</v>
          </cell>
          <cell r="Q359">
            <v>0.1</v>
          </cell>
          <cell r="R359" t="str">
            <v>DESC</v>
          </cell>
        </row>
        <row r="360">
          <cell r="A360" t="str">
            <v>SPARK</v>
          </cell>
          <cell r="H360">
            <v>102.443</v>
          </cell>
          <cell r="I360">
            <v>97.320849999999993</v>
          </cell>
          <cell r="J360">
            <v>107.05293500000001</v>
          </cell>
          <cell r="K360">
            <v>92.198700000000002</v>
          </cell>
          <cell r="L360">
            <v>101.41857</v>
          </cell>
          <cell r="M360">
            <v>87.076549999999997</v>
          </cell>
          <cell r="Q360">
            <v>0.1</v>
          </cell>
          <cell r="R360" t="str">
            <v>DESC</v>
          </cell>
        </row>
        <row r="361">
          <cell r="A361" t="str">
            <v>SPECTRUM</v>
          </cell>
          <cell r="H361">
            <v>89.65</v>
          </cell>
          <cell r="I361">
            <v>85.167500000000004</v>
          </cell>
          <cell r="J361">
            <v>93.684250000000006</v>
          </cell>
          <cell r="K361">
            <v>80.685000000000002</v>
          </cell>
          <cell r="L361">
            <v>88.753500000000003</v>
          </cell>
          <cell r="M361">
            <v>76.202500000000001</v>
          </cell>
          <cell r="Q361">
            <v>0.1</v>
          </cell>
          <cell r="R361" t="str">
            <v>DESC</v>
          </cell>
        </row>
        <row r="362">
          <cell r="A362" t="str">
            <v>SPHINX</v>
          </cell>
          <cell r="H362">
            <v>328.9</v>
          </cell>
          <cell r="I362">
            <v>312.45499999999998</v>
          </cell>
          <cell r="J362">
            <v>343.70050000000003</v>
          </cell>
          <cell r="K362">
            <v>296.01</v>
          </cell>
          <cell r="L362">
            <v>325.61099999999999</v>
          </cell>
          <cell r="M362">
            <v>279.565</v>
          </cell>
          <cell r="Q362">
            <v>0.1</v>
          </cell>
          <cell r="R362"/>
        </row>
        <row r="363">
          <cell r="A363" t="str">
            <v>SPIRE</v>
          </cell>
          <cell r="H363">
            <v>408.69150000000002</v>
          </cell>
          <cell r="I363">
            <v>388.25692500000002</v>
          </cell>
          <cell r="J363">
            <v>427.08261750000008</v>
          </cell>
          <cell r="K363">
            <v>367.82235000000003</v>
          </cell>
          <cell r="L363">
            <v>404.60458500000004</v>
          </cell>
          <cell r="M363">
            <v>347.38777500000003</v>
          </cell>
          <cell r="Q363">
            <v>0.05</v>
          </cell>
          <cell r="R363" t="str">
            <v>REVOLUTION</v>
          </cell>
        </row>
        <row r="364">
          <cell r="A364" t="str">
            <v>SPRITE</v>
          </cell>
          <cell r="H364">
            <v>427.9</v>
          </cell>
          <cell r="I364">
            <v>406.505</v>
          </cell>
          <cell r="J364">
            <v>447.15550000000002</v>
          </cell>
          <cell r="K364">
            <v>385.10999999999996</v>
          </cell>
          <cell r="L364">
            <v>423.62099999999998</v>
          </cell>
          <cell r="M364">
            <v>363.71499999999997</v>
          </cell>
          <cell r="Q364">
            <v>0.1</v>
          </cell>
          <cell r="R364"/>
        </row>
        <row r="365">
          <cell r="A365" t="str">
            <v>SPROUT</v>
          </cell>
          <cell r="H365">
            <v>317.89999999999998</v>
          </cell>
          <cell r="I365">
            <v>302.005</v>
          </cell>
          <cell r="J365">
            <v>332.20550000000003</v>
          </cell>
          <cell r="K365">
            <v>286.10999999999996</v>
          </cell>
          <cell r="L365">
            <v>314.72099999999995</v>
          </cell>
          <cell r="M365">
            <v>270.21499999999997</v>
          </cell>
          <cell r="Q365">
            <v>0.1</v>
          </cell>
          <cell r="R365"/>
        </row>
        <row r="366">
          <cell r="A366" t="str">
            <v>ST CHARLES</v>
          </cell>
          <cell r="H366">
            <v>523.95000000000005</v>
          </cell>
          <cell r="I366">
            <v>497.75250000000005</v>
          </cell>
          <cell r="J366">
            <v>547.52775000000008</v>
          </cell>
          <cell r="K366">
            <v>471.55500000000006</v>
          </cell>
          <cell r="L366">
            <v>518.71050000000002</v>
          </cell>
          <cell r="M366">
            <v>445.35750000000007</v>
          </cell>
          <cell r="Q366">
            <v>0.05</v>
          </cell>
          <cell r="R366" t="str">
            <v>REVOLUTION</v>
          </cell>
        </row>
        <row r="367">
          <cell r="A367" t="str">
            <v>STELLA</v>
          </cell>
          <cell r="H367">
            <v>105.05</v>
          </cell>
          <cell r="I367">
            <v>99.797499999999999</v>
          </cell>
          <cell r="J367">
            <v>109.77725000000001</v>
          </cell>
          <cell r="K367">
            <v>94.545000000000002</v>
          </cell>
          <cell r="L367">
            <v>103.9995</v>
          </cell>
          <cell r="M367">
            <v>89.292500000000004</v>
          </cell>
          <cell r="Q367">
            <v>0.1</v>
          </cell>
          <cell r="R367" t="str">
            <v>DESC</v>
          </cell>
        </row>
        <row r="368">
          <cell r="A368" t="str">
            <v>SUGARSHACK</v>
          </cell>
          <cell r="H368">
            <v>223.14600000000002</v>
          </cell>
          <cell r="I368">
            <v>211.98870000000002</v>
          </cell>
          <cell r="J368">
            <v>233.18757000000005</v>
          </cell>
          <cell r="K368">
            <v>200.8314</v>
          </cell>
          <cell r="L368">
            <v>220.91453999999999</v>
          </cell>
          <cell r="M368">
            <v>189.67410000000001</v>
          </cell>
          <cell r="Q368">
            <v>0.05</v>
          </cell>
          <cell r="R368" t="str">
            <v>REVOLUTION</v>
          </cell>
        </row>
        <row r="369">
          <cell r="A369" t="str">
            <v>SUREFIRE</v>
          </cell>
          <cell r="H369">
            <v>145.94999999999999</v>
          </cell>
          <cell r="I369">
            <v>138.65249999999997</v>
          </cell>
          <cell r="J369">
            <v>152.51774999999998</v>
          </cell>
          <cell r="K369">
            <v>131.35499999999999</v>
          </cell>
          <cell r="L369">
            <v>144.4905</v>
          </cell>
          <cell r="M369">
            <v>124.05749999999999</v>
          </cell>
          <cell r="Q369">
            <v>0.05</v>
          </cell>
          <cell r="R369" t="str">
            <v>REVOLUTION
FEB 2026</v>
          </cell>
        </row>
        <row r="370">
          <cell r="A370" t="str">
            <v>SWEETHEART</v>
          </cell>
          <cell r="H370">
            <v>513.97500000000002</v>
          </cell>
          <cell r="I370">
            <v>488.27625</v>
          </cell>
          <cell r="J370">
            <v>537.10387500000002</v>
          </cell>
          <cell r="K370">
            <v>462.57749999999999</v>
          </cell>
          <cell r="L370">
            <v>508.83524999999997</v>
          </cell>
          <cell r="M370">
            <v>436.87875000000003</v>
          </cell>
          <cell r="Q370">
            <v>0.05</v>
          </cell>
          <cell r="R370" t="str">
            <v>REVOLUTION</v>
          </cell>
        </row>
        <row r="371">
          <cell r="A371" t="str">
            <v>TARA</v>
          </cell>
          <cell r="H371">
            <v>218.9</v>
          </cell>
          <cell r="I371">
            <v>207.95500000000001</v>
          </cell>
          <cell r="J371">
            <v>228.75050000000005</v>
          </cell>
          <cell r="K371">
            <v>197.01</v>
          </cell>
          <cell r="L371">
            <v>216.71099999999998</v>
          </cell>
          <cell r="M371">
            <v>186.065</v>
          </cell>
          <cell r="Q371">
            <v>0.1</v>
          </cell>
          <cell r="R371"/>
        </row>
        <row r="372">
          <cell r="A372" t="str">
            <v>TESSA</v>
          </cell>
          <cell r="H372">
            <v>109.72499999999999</v>
          </cell>
          <cell r="I372">
            <v>104.23875</v>
          </cell>
          <cell r="J372">
            <v>114.66262500000001</v>
          </cell>
          <cell r="K372">
            <v>98.752499999999998</v>
          </cell>
          <cell r="L372">
            <v>108.62774999999999</v>
          </cell>
          <cell r="M372">
            <v>93.266249999999999</v>
          </cell>
          <cell r="Q372">
            <v>0.05</v>
          </cell>
          <cell r="R372"/>
        </row>
        <row r="373">
          <cell r="A373" t="str">
            <v>TIFFANY</v>
          </cell>
          <cell r="H373">
            <v>229.9</v>
          </cell>
          <cell r="I373">
            <v>218.405</v>
          </cell>
          <cell r="J373">
            <v>240.24550000000002</v>
          </cell>
          <cell r="K373">
            <v>206.91</v>
          </cell>
          <cell r="L373">
            <v>227.601</v>
          </cell>
          <cell r="M373">
            <v>195.41500000000002</v>
          </cell>
          <cell r="Q373">
            <v>0.1</v>
          </cell>
          <cell r="R373" t="str">
            <v>DESC</v>
          </cell>
        </row>
        <row r="374">
          <cell r="A374" t="str">
            <v>TIMBALES</v>
          </cell>
          <cell r="H374">
            <v>713.9</v>
          </cell>
          <cell r="I374">
            <v>678.20499999999993</v>
          </cell>
          <cell r="J374">
            <v>746.02549999999997</v>
          </cell>
          <cell r="K374">
            <v>642.51</v>
          </cell>
          <cell r="L374">
            <v>706.76099999999997</v>
          </cell>
          <cell r="M374">
            <v>606.81499999999994</v>
          </cell>
          <cell r="Q374">
            <v>0.1</v>
          </cell>
          <cell r="R374" t="str">
            <v>SUNBELIEVABLE</v>
          </cell>
        </row>
        <row r="375">
          <cell r="A375" t="str">
            <v>TITUS</v>
          </cell>
          <cell r="H375">
            <v>119.9</v>
          </cell>
          <cell r="I375">
            <v>113.905</v>
          </cell>
          <cell r="J375">
            <v>125.29550000000002</v>
          </cell>
          <cell r="K375">
            <v>107.91</v>
          </cell>
          <cell r="L375">
            <v>118.70099999999999</v>
          </cell>
          <cell r="M375">
            <v>101.91500000000001</v>
          </cell>
          <cell r="Q375">
            <v>0.1</v>
          </cell>
          <cell r="R375"/>
        </row>
        <row r="376">
          <cell r="A376" t="str">
            <v>TNT</v>
          </cell>
          <cell r="H376">
            <v>131.27099999999999</v>
          </cell>
          <cell r="I376">
            <v>124.70744999999999</v>
          </cell>
          <cell r="J376">
            <v>137.17819500000002</v>
          </cell>
          <cell r="K376">
            <v>118.14389999999999</v>
          </cell>
          <cell r="L376">
            <v>129.95828999999998</v>
          </cell>
          <cell r="M376">
            <v>111.58034999999998</v>
          </cell>
          <cell r="Q376">
            <v>0.05</v>
          </cell>
          <cell r="R376" t="str">
            <v>REVOLUTION</v>
          </cell>
        </row>
        <row r="377">
          <cell r="A377" t="str">
            <v>TOBY</v>
          </cell>
          <cell r="H377">
            <v>90.2</v>
          </cell>
          <cell r="I377">
            <v>85.69</v>
          </cell>
          <cell r="J377">
            <v>94.259</v>
          </cell>
          <cell r="K377">
            <v>81.180000000000007</v>
          </cell>
          <cell r="L377">
            <v>89.298000000000002</v>
          </cell>
          <cell r="M377">
            <v>76.67</v>
          </cell>
          <cell r="Q377">
            <v>0.1</v>
          </cell>
          <cell r="R377"/>
        </row>
        <row r="378">
          <cell r="A378" t="str">
            <v>TONAL</v>
          </cell>
          <cell r="H378">
            <v>612.39200000000005</v>
          </cell>
          <cell r="I378">
            <v>581.77240000000006</v>
          </cell>
          <cell r="J378">
            <v>639.94964000000016</v>
          </cell>
          <cell r="K378">
            <v>551.15280000000007</v>
          </cell>
          <cell r="L378">
            <v>606.26808000000005</v>
          </cell>
          <cell r="M378">
            <v>520.53320000000008</v>
          </cell>
          <cell r="Q378">
            <v>0.1</v>
          </cell>
          <cell r="R378" t="str">
            <v>DESC</v>
          </cell>
        </row>
        <row r="379">
          <cell r="A379" t="str">
            <v>TOPAZ</v>
          </cell>
          <cell r="H379">
            <v>141.50399999999999</v>
          </cell>
          <cell r="I379">
            <v>134.4288</v>
          </cell>
          <cell r="J379">
            <v>147.87168</v>
          </cell>
          <cell r="K379">
            <v>127.35359999999999</v>
          </cell>
          <cell r="L379">
            <v>140.08895999999999</v>
          </cell>
          <cell r="M379">
            <v>120.27839999999999</v>
          </cell>
          <cell r="Q379">
            <v>0.1</v>
          </cell>
          <cell r="R379" t="str">
            <v>DESC</v>
          </cell>
        </row>
        <row r="380">
          <cell r="A380" t="str">
            <v xml:space="preserve">TOTO </v>
          </cell>
          <cell r="H380">
            <v>329.45</v>
          </cell>
          <cell r="I380">
            <v>312.97749999999996</v>
          </cell>
          <cell r="J380">
            <v>344.27524999999997</v>
          </cell>
          <cell r="K380">
            <v>296.505</v>
          </cell>
          <cell r="L380">
            <v>326.15550000000002</v>
          </cell>
          <cell r="M380">
            <v>280.03249999999997</v>
          </cell>
          <cell r="Q380">
            <v>0.1</v>
          </cell>
          <cell r="R380"/>
        </row>
        <row r="381">
          <cell r="A381" t="str">
            <v>TOULON</v>
          </cell>
          <cell r="H381">
            <v>513.97500000000002</v>
          </cell>
          <cell r="I381">
            <v>488.27625</v>
          </cell>
          <cell r="J381">
            <v>537.10387500000002</v>
          </cell>
          <cell r="K381">
            <v>462.57749999999999</v>
          </cell>
          <cell r="L381">
            <v>508.83524999999997</v>
          </cell>
          <cell r="M381">
            <v>436.87875000000003</v>
          </cell>
          <cell r="Q381">
            <v>0.05</v>
          </cell>
          <cell r="R381" t="str">
            <v>REVOLUTION</v>
          </cell>
        </row>
        <row r="382">
          <cell r="A382" t="str">
            <v>TRAFFIC</v>
          </cell>
          <cell r="H382">
            <v>92.95</v>
          </cell>
          <cell r="I382">
            <v>88.302500000000009</v>
          </cell>
          <cell r="J382">
            <v>97.132750000000016</v>
          </cell>
          <cell r="K382">
            <v>83.655000000000001</v>
          </cell>
          <cell r="L382">
            <v>92.020499999999998</v>
          </cell>
          <cell r="M382">
            <v>79.007500000000007</v>
          </cell>
          <cell r="Q382">
            <v>0.1</v>
          </cell>
          <cell r="R382" t="str">
            <v>DESC</v>
          </cell>
        </row>
        <row r="383">
          <cell r="A383" t="str">
            <v>TRANI</v>
          </cell>
          <cell r="H383">
            <v>284.89999999999998</v>
          </cell>
          <cell r="I383">
            <v>270.65499999999997</v>
          </cell>
          <cell r="J383">
            <v>297.72050000000002</v>
          </cell>
          <cell r="K383">
            <v>256.40999999999997</v>
          </cell>
          <cell r="L383">
            <v>282.05099999999999</v>
          </cell>
          <cell r="M383">
            <v>242.16499999999999</v>
          </cell>
          <cell r="Q383">
            <v>0.1</v>
          </cell>
          <cell r="R383" t="str">
            <v>NOVATEX</v>
          </cell>
        </row>
        <row r="384">
          <cell r="A384" t="str">
            <v>TRIAD</v>
          </cell>
          <cell r="H384">
            <v>471.97500000000002</v>
          </cell>
          <cell r="I384">
            <v>448.37625000000003</v>
          </cell>
          <cell r="J384">
            <v>493.21387500000009</v>
          </cell>
          <cell r="K384">
            <v>424.77750000000003</v>
          </cell>
          <cell r="L384">
            <v>467.25525000000005</v>
          </cell>
          <cell r="M384">
            <v>401.17875000000004</v>
          </cell>
          <cell r="Q384">
            <v>0.05</v>
          </cell>
          <cell r="R384" t="str">
            <v>REVOLUTION</v>
          </cell>
        </row>
        <row r="385">
          <cell r="A385" t="str">
            <v>TROY</v>
          </cell>
          <cell r="H385">
            <v>65.45</v>
          </cell>
          <cell r="I385">
            <v>62.177500000000002</v>
          </cell>
          <cell r="J385">
            <v>68.395250000000004</v>
          </cell>
          <cell r="K385">
            <v>58.905000000000001</v>
          </cell>
          <cell r="L385">
            <v>64.795500000000004</v>
          </cell>
          <cell r="M385">
            <v>55.6325</v>
          </cell>
          <cell r="Q385">
            <v>0.1</v>
          </cell>
          <cell r="R385" t="str">
            <v>DESC</v>
          </cell>
        </row>
        <row r="386">
          <cell r="A386" t="str">
            <v>TURINO</v>
          </cell>
          <cell r="H386">
            <v>213.91649999999998</v>
          </cell>
          <cell r="I386">
            <v>203.22067499999997</v>
          </cell>
          <cell r="J386">
            <v>223.54274249999997</v>
          </cell>
          <cell r="K386">
            <v>192.52484999999999</v>
          </cell>
          <cell r="L386">
            <v>211.77733499999999</v>
          </cell>
          <cell r="M386">
            <v>181.829025</v>
          </cell>
          <cell r="Q386">
            <v>0.05</v>
          </cell>
          <cell r="R386" t="str">
            <v>REVOLUTION</v>
          </cell>
        </row>
        <row r="387">
          <cell r="A387" t="str">
            <v>VADA</v>
          </cell>
          <cell r="H387">
            <v>383.9</v>
          </cell>
          <cell r="I387">
            <v>364.70499999999998</v>
          </cell>
          <cell r="J387">
            <v>401.1755</v>
          </cell>
          <cell r="K387">
            <v>345.51</v>
          </cell>
          <cell r="L387">
            <v>380.06099999999998</v>
          </cell>
          <cell r="M387">
            <v>326.315</v>
          </cell>
          <cell r="Q387">
            <v>0.1</v>
          </cell>
          <cell r="R387"/>
        </row>
        <row r="388">
          <cell r="A388" t="str">
            <v>VALENTINA</v>
          </cell>
          <cell r="H388">
            <v>115.56</v>
          </cell>
          <cell r="I388">
            <v>109.782</v>
          </cell>
          <cell r="J388">
            <v>120.76020000000001</v>
          </cell>
          <cell r="K388">
            <v>104.004</v>
          </cell>
          <cell r="L388">
            <v>114.40440000000001</v>
          </cell>
          <cell r="M388">
            <v>98.225999999999999</v>
          </cell>
          <cell r="Q388">
            <v>0</v>
          </cell>
          <cell r="R388"/>
        </row>
        <row r="389">
          <cell r="A389" t="str">
            <v>VARLEY</v>
          </cell>
          <cell r="H389">
            <v>229.9</v>
          </cell>
          <cell r="I389">
            <v>218.405</v>
          </cell>
          <cell r="J389">
            <v>240.24550000000002</v>
          </cell>
          <cell r="K389">
            <v>206.91</v>
          </cell>
          <cell r="L389">
            <v>227.601</v>
          </cell>
          <cell r="M389">
            <v>195.41500000000002</v>
          </cell>
          <cell r="Q389">
            <v>0.1</v>
          </cell>
          <cell r="R389"/>
        </row>
        <row r="390">
          <cell r="A390" t="str">
            <v>VENUS</v>
          </cell>
          <cell r="H390">
            <v>350.9</v>
          </cell>
          <cell r="I390">
            <v>333.35499999999996</v>
          </cell>
          <cell r="J390">
            <v>366.69049999999999</v>
          </cell>
          <cell r="K390">
            <v>315.81</v>
          </cell>
          <cell r="L390">
            <v>347.39100000000002</v>
          </cell>
          <cell r="M390">
            <v>298.26499999999999</v>
          </cell>
          <cell r="Q390">
            <v>0.1</v>
          </cell>
          <cell r="R390" t="str">
            <v>SUNBELIEVABLE</v>
          </cell>
        </row>
        <row r="391">
          <cell r="A391" t="str">
            <v>VERONA</v>
          </cell>
          <cell r="H391">
            <v>284.89999999999998</v>
          </cell>
          <cell r="I391">
            <v>270.65499999999997</v>
          </cell>
          <cell r="J391">
            <v>297.72050000000002</v>
          </cell>
          <cell r="K391">
            <v>256.40999999999997</v>
          </cell>
          <cell r="L391">
            <v>282.05099999999999</v>
          </cell>
          <cell r="M391">
            <v>242.16499999999999</v>
          </cell>
          <cell r="Q391">
            <v>0.1</v>
          </cell>
          <cell r="R391" t="str">
            <v>NOVATEX</v>
          </cell>
        </row>
        <row r="392">
          <cell r="A392" t="str">
            <v>VESPER</v>
          </cell>
          <cell r="H392">
            <v>356.95</v>
          </cell>
          <cell r="I392">
            <v>339.10249999999996</v>
          </cell>
          <cell r="J392">
            <v>373.01274999999998</v>
          </cell>
          <cell r="K392">
            <v>321.255</v>
          </cell>
          <cell r="L392">
            <v>353.38049999999998</v>
          </cell>
          <cell r="M392">
            <v>303.40749999999997</v>
          </cell>
          <cell r="Q392">
            <v>0.1</v>
          </cell>
          <cell r="R392"/>
        </row>
        <row r="393">
          <cell r="A393" t="str">
            <v>VICENZA</v>
          </cell>
          <cell r="H393">
            <v>262.89999999999998</v>
          </cell>
          <cell r="I393">
            <v>249.75499999999997</v>
          </cell>
          <cell r="J393">
            <v>274.73050000000001</v>
          </cell>
          <cell r="K393">
            <v>236.60999999999999</v>
          </cell>
          <cell r="L393">
            <v>260.27099999999996</v>
          </cell>
          <cell r="M393">
            <v>223.46499999999997</v>
          </cell>
          <cell r="Q393">
            <v>0.1</v>
          </cell>
          <cell r="R393" t="str">
            <v>NOVATEX</v>
          </cell>
        </row>
        <row r="394">
          <cell r="A394" t="str">
            <v>VICOLO</v>
          </cell>
          <cell r="H394">
            <v>543.29</v>
          </cell>
          <cell r="I394">
            <v>516.12549999999999</v>
          </cell>
          <cell r="J394">
            <v>567.73805000000004</v>
          </cell>
          <cell r="K394">
            <v>488.96099999999996</v>
          </cell>
          <cell r="L394">
            <v>537.85709999999995</v>
          </cell>
          <cell r="M394">
            <v>461.79649999999998</v>
          </cell>
          <cell r="Q394">
            <v>0.1</v>
          </cell>
          <cell r="R394" t="str">
            <v>NOVATEX</v>
          </cell>
        </row>
        <row r="395">
          <cell r="A395" t="str">
            <v>VICTORY</v>
          </cell>
          <cell r="H395">
            <v>78.224999999999994</v>
          </cell>
          <cell r="I395">
            <v>74.313749999999999</v>
          </cell>
          <cell r="J395">
            <v>81.745125000000002</v>
          </cell>
          <cell r="K395">
            <v>70.402499999999989</v>
          </cell>
          <cell r="L395">
            <v>77.44274999999999</v>
          </cell>
          <cell r="M395">
            <v>66.491249999999994</v>
          </cell>
          <cell r="Q395">
            <v>0.05</v>
          </cell>
          <cell r="R395"/>
        </row>
        <row r="396">
          <cell r="A396" t="str">
            <v>VITTORIA</v>
          </cell>
          <cell r="H396">
            <v>229.9</v>
          </cell>
          <cell r="I396">
            <v>218.405</v>
          </cell>
          <cell r="J396">
            <v>240.24550000000002</v>
          </cell>
          <cell r="K396">
            <v>206.91</v>
          </cell>
          <cell r="L396">
            <v>227.601</v>
          </cell>
          <cell r="M396">
            <v>195.41500000000002</v>
          </cell>
          <cell r="Q396">
            <v>0.1</v>
          </cell>
          <cell r="R396" t="str">
            <v>NOVATEX</v>
          </cell>
        </row>
        <row r="397">
          <cell r="A397" t="str">
            <v>VIVACITY</v>
          </cell>
          <cell r="H397">
            <v>77.7</v>
          </cell>
          <cell r="I397">
            <v>73.814999999999998</v>
          </cell>
          <cell r="J397">
            <v>81.1965</v>
          </cell>
          <cell r="K397">
            <v>69.930000000000007</v>
          </cell>
          <cell r="L397">
            <v>76.923000000000002</v>
          </cell>
          <cell r="M397">
            <v>66.045000000000002</v>
          </cell>
          <cell r="Q397">
            <v>0.05</v>
          </cell>
          <cell r="R397"/>
        </row>
        <row r="398">
          <cell r="A398" t="str">
            <v>WAIKIKI</v>
          </cell>
          <cell r="H398">
            <v>271.95</v>
          </cell>
          <cell r="I398">
            <v>258.35249999999996</v>
          </cell>
          <cell r="J398">
            <v>284.18774999999999</v>
          </cell>
          <cell r="K398">
            <v>244.755</v>
          </cell>
          <cell r="L398">
            <v>269.23050000000001</v>
          </cell>
          <cell r="M398">
            <v>231.1575</v>
          </cell>
          <cell r="Q398">
            <v>0.05</v>
          </cell>
          <cell r="R398" t="str">
            <v>REVOLUTION</v>
          </cell>
        </row>
        <row r="399">
          <cell r="A399" t="str">
            <v>WATER TREATMENT</v>
          </cell>
          <cell r="H399">
            <v>438.9</v>
          </cell>
          <cell r="I399">
            <v>416.95499999999998</v>
          </cell>
          <cell r="J399">
            <v>458.65050000000002</v>
          </cell>
          <cell r="K399">
            <v>395.01</v>
          </cell>
          <cell r="L399">
            <v>434.51099999999997</v>
          </cell>
          <cell r="M399">
            <v>373.065</v>
          </cell>
          <cell r="Q399">
            <v>0.1</v>
          </cell>
          <cell r="R399" t="str">
            <v>DESC</v>
          </cell>
        </row>
        <row r="400">
          <cell r="A400" t="str">
            <v>WEMBLEY</v>
          </cell>
          <cell r="H400">
            <v>460.95</v>
          </cell>
          <cell r="I400">
            <v>437.90249999999997</v>
          </cell>
          <cell r="J400">
            <v>481.69274999999999</v>
          </cell>
          <cell r="K400">
            <v>414.85500000000002</v>
          </cell>
          <cell r="L400">
            <v>456.34050000000002</v>
          </cell>
          <cell r="M400">
            <v>391.8075</v>
          </cell>
          <cell r="Q400">
            <v>0.05</v>
          </cell>
          <cell r="R400" t="str">
            <v>REVOLUTION</v>
          </cell>
        </row>
        <row r="401">
          <cell r="A401" t="str">
            <v>WESLEY</v>
          </cell>
          <cell r="H401">
            <v>383.9</v>
          </cell>
          <cell r="I401">
            <v>364.70499999999998</v>
          </cell>
          <cell r="J401">
            <v>401.1755</v>
          </cell>
          <cell r="K401">
            <v>345.51</v>
          </cell>
          <cell r="L401">
            <v>380.06099999999998</v>
          </cell>
          <cell r="M401">
            <v>326.315</v>
          </cell>
          <cell r="Q401">
            <v>0.1</v>
          </cell>
          <cell r="R401"/>
        </row>
        <row r="402">
          <cell r="A402" t="str">
            <v>WESTWOOD</v>
          </cell>
          <cell r="H402">
            <v>272.47500000000002</v>
          </cell>
          <cell r="I402">
            <v>258.85125000000005</v>
          </cell>
          <cell r="J402">
            <v>284.73637500000007</v>
          </cell>
          <cell r="K402">
            <v>245.22750000000002</v>
          </cell>
          <cell r="L402">
            <v>269.75025000000005</v>
          </cell>
          <cell r="M402">
            <v>231.60375000000002</v>
          </cell>
          <cell r="Q402">
            <v>0.05</v>
          </cell>
          <cell r="R402" t="str">
            <v>REVOLUTION</v>
          </cell>
        </row>
        <row r="403">
          <cell r="A403" t="str">
            <v>WHISPER</v>
          </cell>
          <cell r="H403">
            <v>339.9</v>
          </cell>
          <cell r="I403">
            <v>322.90499999999997</v>
          </cell>
          <cell r="J403">
            <v>355.19549999999998</v>
          </cell>
          <cell r="K403">
            <v>305.90999999999997</v>
          </cell>
          <cell r="L403">
            <v>336.50099999999998</v>
          </cell>
          <cell r="M403">
            <v>288.91499999999996</v>
          </cell>
          <cell r="Q403">
            <v>0.1</v>
          </cell>
          <cell r="R403"/>
        </row>
        <row r="404">
          <cell r="A404" t="str">
            <v>WINDSOR</v>
          </cell>
          <cell r="H404">
            <v>198.61600000000001</v>
          </cell>
          <cell r="I404">
            <v>188.68520000000001</v>
          </cell>
          <cell r="J404">
            <v>207.55372000000003</v>
          </cell>
          <cell r="K404">
            <v>178.7544</v>
          </cell>
          <cell r="L404">
            <v>196.62984</v>
          </cell>
          <cell r="M404">
            <v>168.8236</v>
          </cell>
          <cell r="Q404">
            <v>0.1</v>
          </cell>
          <cell r="R404"/>
        </row>
        <row r="405">
          <cell r="A405" t="str">
            <v>WISH</v>
          </cell>
          <cell r="H405">
            <v>108.9</v>
          </cell>
          <cell r="I405">
            <v>103.45500000000001</v>
          </cell>
          <cell r="J405">
            <v>113.80050000000003</v>
          </cell>
          <cell r="K405">
            <v>98.01</v>
          </cell>
          <cell r="L405">
            <v>107.81100000000001</v>
          </cell>
          <cell r="M405">
            <v>92.564999999999998</v>
          </cell>
          <cell r="Q405">
            <v>0.1</v>
          </cell>
          <cell r="R405"/>
        </row>
        <row r="406">
          <cell r="A406" t="str">
            <v>WORSTED</v>
          </cell>
          <cell r="H406">
            <v>303.45</v>
          </cell>
          <cell r="I406">
            <v>288.27749999999997</v>
          </cell>
          <cell r="J406">
            <v>317.10525000000001</v>
          </cell>
          <cell r="K406">
            <v>273.10500000000002</v>
          </cell>
          <cell r="L406">
            <v>300.41550000000001</v>
          </cell>
          <cell r="M406">
            <v>257.9325</v>
          </cell>
          <cell r="Q406">
            <v>0.05</v>
          </cell>
          <cell r="R406" t="str">
            <v>REVOLUTION
FEB 2026</v>
          </cell>
        </row>
        <row r="407">
          <cell r="A407" t="str">
            <v>WYATT</v>
          </cell>
          <cell r="H407">
            <v>153.44999999999999</v>
          </cell>
          <cell r="I407">
            <v>145.77749999999997</v>
          </cell>
          <cell r="J407">
            <v>160.35524999999998</v>
          </cell>
          <cell r="K407">
            <v>138.10499999999999</v>
          </cell>
          <cell r="L407">
            <v>151.91549999999998</v>
          </cell>
          <cell r="M407">
            <v>130.4325</v>
          </cell>
          <cell r="Q407">
            <v>0.1</v>
          </cell>
          <cell r="R407"/>
        </row>
        <row r="408">
          <cell r="A408" t="str">
            <v>YES</v>
          </cell>
          <cell r="H408">
            <v>350.9</v>
          </cell>
          <cell r="I408">
            <v>333.35499999999996</v>
          </cell>
          <cell r="J408">
            <v>366.69049999999999</v>
          </cell>
          <cell r="K408">
            <v>315.81</v>
          </cell>
          <cell r="L408">
            <v>347.39100000000002</v>
          </cell>
          <cell r="M408">
            <v>298.26499999999999</v>
          </cell>
          <cell r="Q408">
            <v>0.1</v>
          </cell>
          <cell r="R408"/>
        </row>
        <row r="409">
          <cell r="A409" t="str">
            <v>YOKO</v>
          </cell>
          <cell r="H409">
            <v>597.17899999999997</v>
          </cell>
          <cell r="I409">
            <v>567.32004999999992</v>
          </cell>
          <cell r="J409">
            <v>624.052055</v>
          </cell>
          <cell r="K409">
            <v>537.46109999999999</v>
          </cell>
          <cell r="L409">
            <v>591.20721000000003</v>
          </cell>
          <cell r="M409">
            <v>507.60214999999999</v>
          </cell>
          <cell r="Q409">
            <v>0.1</v>
          </cell>
          <cell r="R409" t="str">
            <v>DESC</v>
          </cell>
        </row>
        <row r="410">
          <cell r="A410" t="str">
            <v>ZAPPA</v>
          </cell>
          <cell r="H410">
            <v>317.89999999999998</v>
          </cell>
          <cell r="I410">
            <v>302.005</v>
          </cell>
          <cell r="J410">
            <v>332.20550000000003</v>
          </cell>
          <cell r="K410">
            <v>286.10999999999996</v>
          </cell>
          <cell r="L410">
            <v>314.72099999999995</v>
          </cell>
          <cell r="M410">
            <v>270.21499999999997</v>
          </cell>
          <cell r="Q410">
            <v>0.1</v>
          </cell>
          <cell r="R410" t="str">
            <v>RECYCLE</v>
          </cell>
        </row>
        <row r="411">
          <cell r="A411" t="str">
            <v>ZELPHIE</v>
          </cell>
          <cell r="H411">
            <v>295.89999999999998</v>
          </cell>
          <cell r="I411">
            <v>281.10499999999996</v>
          </cell>
          <cell r="J411">
            <v>309.21549999999996</v>
          </cell>
          <cell r="K411">
            <v>266.31</v>
          </cell>
          <cell r="L411">
            <v>292.94100000000003</v>
          </cell>
          <cell r="M411">
            <v>251.51499999999999</v>
          </cell>
          <cell r="Q411">
            <v>0.1</v>
          </cell>
          <cell r="R411" t="str">
            <v>DESC</v>
          </cell>
        </row>
        <row r="412">
          <cell r="A412" t="str">
            <v>ZENA</v>
          </cell>
          <cell r="H412">
            <v>196.9</v>
          </cell>
          <cell r="I412">
            <v>187.05500000000001</v>
          </cell>
          <cell r="J412">
            <v>205.76050000000004</v>
          </cell>
          <cell r="K412">
            <v>177.21</v>
          </cell>
          <cell r="L412">
            <v>194.93100000000001</v>
          </cell>
          <cell r="M412">
            <v>167.36500000000001</v>
          </cell>
          <cell r="Q412">
            <v>0.1</v>
          </cell>
          <cell r="R412" t="str">
            <v>LONG LIFE
FEB 2026</v>
          </cell>
        </row>
        <row r="413">
          <cell r="A413" t="str">
            <v>ZENITH</v>
          </cell>
          <cell r="H413">
            <v>136.94999999999999</v>
          </cell>
          <cell r="I413">
            <v>130.10249999999999</v>
          </cell>
          <cell r="J413">
            <v>143.11275000000001</v>
          </cell>
          <cell r="K413">
            <v>123.255</v>
          </cell>
          <cell r="L413">
            <v>135.5805</v>
          </cell>
          <cell r="M413">
            <v>116.4075</v>
          </cell>
          <cell r="Q413">
            <v>0.1</v>
          </cell>
          <cell r="R413"/>
        </row>
        <row r="414">
          <cell r="A414" t="str">
            <v>BELOVED</v>
          </cell>
          <cell r="H414">
            <v>89</v>
          </cell>
          <cell r="I414">
            <v>84.55</v>
          </cell>
          <cell r="J414">
            <v>93.00500000000001</v>
          </cell>
          <cell r="K414">
            <v>80.099999999999994</v>
          </cell>
          <cell r="L414">
            <v>88.11</v>
          </cell>
          <cell r="M414">
            <v>75.650000000000006</v>
          </cell>
          <cell r="Q414" t="str">
            <v>-</v>
          </cell>
          <cell r="R414" t="str">
            <v>AGO 2026</v>
          </cell>
        </row>
        <row r="415">
          <cell r="A415" t="str">
            <v>BRAXTON</v>
          </cell>
          <cell r="H415">
            <v>74</v>
          </cell>
          <cell r="I415">
            <v>70.3</v>
          </cell>
          <cell r="J415">
            <v>77.33</v>
          </cell>
          <cell r="K415">
            <v>66.599999999999994</v>
          </cell>
          <cell r="L415">
            <v>73.259999999999991</v>
          </cell>
          <cell r="M415">
            <v>62.9</v>
          </cell>
          <cell r="Q415" t="str">
            <v>-</v>
          </cell>
          <cell r="R415" t="str">
            <v>AGO 2026</v>
          </cell>
        </row>
        <row r="416">
          <cell r="A416" t="str">
            <v>TALISKER</v>
          </cell>
          <cell r="H416">
            <v>139</v>
          </cell>
          <cell r="I416">
            <v>132.05000000000001</v>
          </cell>
          <cell r="J416">
            <v>145.25500000000002</v>
          </cell>
          <cell r="K416">
            <v>125.1</v>
          </cell>
          <cell r="L416">
            <v>137.60999999999999</v>
          </cell>
          <cell r="M416">
            <v>118.15</v>
          </cell>
          <cell r="Q416" t="str">
            <v>-</v>
          </cell>
          <cell r="R416" t="str">
            <v>AGO 2026</v>
          </cell>
        </row>
        <row r="417">
          <cell r="A417" t="str">
            <v>OJAI</v>
          </cell>
          <cell r="H417">
            <v>69</v>
          </cell>
          <cell r="I417">
            <v>65.55</v>
          </cell>
          <cell r="J417">
            <v>72.105000000000004</v>
          </cell>
          <cell r="K417">
            <v>62.1</v>
          </cell>
          <cell r="L417">
            <v>68.31</v>
          </cell>
          <cell r="M417">
            <v>58.65</v>
          </cell>
          <cell r="Q417" t="str">
            <v>-</v>
          </cell>
          <cell r="R417" t="str">
            <v>AGO 2026</v>
          </cell>
        </row>
        <row r="418">
          <cell r="A418" t="str">
            <v>BRENTWOOD</v>
          </cell>
          <cell r="H418">
            <v>189</v>
          </cell>
          <cell r="I418">
            <v>179.55</v>
          </cell>
          <cell r="J418">
            <v>197.50500000000002</v>
          </cell>
          <cell r="K418">
            <v>170.1</v>
          </cell>
          <cell r="L418">
            <v>187.10999999999999</v>
          </cell>
          <cell r="M418">
            <v>160.65</v>
          </cell>
          <cell r="Q418" t="str">
            <v>-</v>
          </cell>
          <cell r="R418" t="str">
            <v>LONG LIFE 
AGO 2026</v>
          </cell>
        </row>
        <row r="419">
          <cell r="A419" t="str">
            <v>SYCAMORE</v>
          </cell>
          <cell r="H419">
            <v>289</v>
          </cell>
          <cell r="I419">
            <v>274.55</v>
          </cell>
          <cell r="J419">
            <v>302.00500000000005</v>
          </cell>
          <cell r="K419">
            <v>260.10000000000002</v>
          </cell>
          <cell r="L419">
            <v>286.11</v>
          </cell>
          <cell r="M419">
            <v>245.65</v>
          </cell>
          <cell r="Q419" t="str">
            <v>-</v>
          </cell>
          <cell r="R419" t="str">
            <v>AGO 2026</v>
          </cell>
        </row>
        <row r="420">
          <cell r="A420" t="str">
            <v>OKASAKI</v>
          </cell>
          <cell r="H420">
            <v>329</v>
          </cell>
          <cell r="I420">
            <v>312.55</v>
          </cell>
          <cell r="J420">
            <v>343.80500000000006</v>
          </cell>
          <cell r="K420">
            <v>296.10000000000002</v>
          </cell>
          <cell r="L420">
            <v>325.71000000000004</v>
          </cell>
          <cell r="M420">
            <v>279.64999999999998</v>
          </cell>
          <cell r="Q420" t="str">
            <v>-</v>
          </cell>
          <cell r="R420" t="str">
            <v>AGO 2026</v>
          </cell>
        </row>
        <row r="421">
          <cell r="A421" t="str">
            <v>MALTESE</v>
          </cell>
          <cell r="H421">
            <v>369</v>
          </cell>
          <cell r="I421">
            <v>350.55</v>
          </cell>
          <cell r="J421">
            <v>385.60500000000002</v>
          </cell>
          <cell r="K421">
            <v>332.1</v>
          </cell>
          <cell r="L421">
            <v>365.31</v>
          </cell>
          <cell r="M421">
            <v>313.64999999999998</v>
          </cell>
          <cell r="Q421" t="str">
            <v>-</v>
          </cell>
          <cell r="R421" t="str">
            <v>AGO 2026</v>
          </cell>
        </row>
        <row r="422">
          <cell r="A422" t="str">
            <v>BERNADETTE</v>
          </cell>
          <cell r="H422">
            <v>369</v>
          </cell>
          <cell r="I422">
            <v>350.55</v>
          </cell>
          <cell r="J422">
            <v>385.60500000000002</v>
          </cell>
          <cell r="K422">
            <v>332.1</v>
          </cell>
          <cell r="L422">
            <v>365.31</v>
          </cell>
          <cell r="M422">
            <v>313.64999999999998</v>
          </cell>
          <cell r="Q422" t="str">
            <v>-</v>
          </cell>
          <cell r="R422" t="str">
            <v>AGO 2026</v>
          </cell>
        </row>
        <row r="423">
          <cell r="A423" t="str">
            <v>DEWBERRY</v>
          </cell>
          <cell r="H423">
            <v>199</v>
          </cell>
          <cell r="I423">
            <v>189.05</v>
          </cell>
          <cell r="J423">
            <v>207.95500000000004</v>
          </cell>
          <cell r="K423">
            <v>179.1</v>
          </cell>
          <cell r="L423">
            <v>197.01</v>
          </cell>
          <cell r="M423">
            <v>169.15</v>
          </cell>
          <cell r="Q423" t="str">
            <v>-</v>
          </cell>
          <cell r="R423" t="str">
            <v>LONG LIFE 
AGO 2026</v>
          </cell>
        </row>
      </sheetData>
      <sheetData sheetId="42"/>
      <sheetData sheetId="4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RTIDO"/>
      <sheetName val="LISTA PRECIOS GENERAL"/>
      <sheetName val="Price list"/>
      <sheetName val="PRECIOS ESPECIALES CENTRO"/>
      <sheetName val="ERENDIRA"/>
      <sheetName val="PASSION"/>
      <sheetName val="COLCHONES"/>
      <sheetName val="COMPARATIVA PRECIOS ESP"/>
      <sheetName val="REPORTE POR CLIENTE"/>
      <sheetName val="divani piel"/>
      <sheetName val="aranceles"/>
      <sheetName val="REPORTE DE AUMENTOS"/>
      <sheetName val="PRECIOS ESPECIALES"/>
      <sheetName val="REPORTE GENERAL"/>
      <sheetName val="PLASCENCIA"/>
      <sheetName val="TELAS POR PISO"/>
      <sheetName val="Toda FM"/>
      <sheetName val="DIVANI"/>
      <sheetName val="PRECIOS ESP"/>
      <sheetName val="LORENA ISABEL"/>
      <sheetName val="Hoja1"/>
      <sheetName val="Toda FM aumento"/>
      <sheetName val="Hoj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A1"/>
          <cell r="H1"/>
        </row>
        <row r="2">
          <cell r="A2" t="str">
            <v xml:space="preserve">OPEN LINE </v>
          </cell>
          <cell r="H2" t="str">
            <v xml:space="preserve">F5 </v>
          </cell>
        </row>
        <row r="3">
          <cell r="A3" t="str">
            <v>TELA</v>
          </cell>
          <cell r="H3" t="str">
            <v>Mayoreo</v>
          </cell>
        </row>
        <row r="4">
          <cell r="A4" t="str">
            <v>ACOSTA</v>
          </cell>
          <cell r="H4">
            <v>349</v>
          </cell>
        </row>
        <row r="5">
          <cell r="A5" t="str">
            <v>ALANIS</v>
          </cell>
          <cell r="H5">
            <v>84.5</v>
          </cell>
        </row>
        <row r="6">
          <cell r="A6" t="str">
            <v>ALASKA</v>
          </cell>
          <cell r="H6">
            <v>379</v>
          </cell>
        </row>
        <row r="7">
          <cell r="A7" t="str">
            <v>ALBA</v>
          </cell>
          <cell r="H7">
            <v>229</v>
          </cell>
        </row>
        <row r="8">
          <cell r="A8" t="str">
            <v>ALBANI</v>
          </cell>
          <cell r="H8">
            <v>89</v>
          </cell>
        </row>
        <row r="9">
          <cell r="A9" t="str">
            <v>ALFAX</v>
          </cell>
          <cell r="H9">
            <v>642.86</v>
          </cell>
        </row>
        <row r="10">
          <cell r="A10" t="str">
            <v>ALISTAIR</v>
          </cell>
          <cell r="H10">
            <v>129.5</v>
          </cell>
        </row>
        <row r="11">
          <cell r="A11" t="str">
            <v>ALPACA</v>
          </cell>
          <cell r="H11">
            <v>159</v>
          </cell>
        </row>
        <row r="12">
          <cell r="A12" t="str">
            <v>ALPS</v>
          </cell>
          <cell r="H12">
            <v>389</v>
          </cell>
        </row>
        <row r="13">
          <cell r="A13" t="str">
            <v>AMARA</v>
          </cell>
          <cell r="H13">
            <v>189</v>
          </cell>
        </row>
        <row r="14">
          <cell r="A14" t="str">
            <v>AMAZON</v>
          </cell>
          <cell r="H14">
            <v>159</v>
          </cell>
        </row>
        <row r="15">
          <cell r="A15" t="str">
            <v>AMICO</v>
          </cell>
          <cell r="H15">
            <v>159</v>
          </cell>
        </row>
        <row r="16">
          <cell r="A16" t="str">
            <v>ANCESTRY</v>
          </cell>
          <cell r="H16">
            <v>379.5</v>
          </cell>
        </row>
        <row r="17">
          <cell r="A17" t="str">
            <v>ANGELO</v>
          </cell>
          <cell r="H17">
            <v>349</v>
          </cell>
        </row>
        <row r="18">
          <cell r="A18" t="str">
            <v>ANGOLA</v>
          </cell>
          <cell r="H18">
            <v>389.23</v>
          </cell>
        </row>
        <row r="19">
          <cell r="A19" t="str">
            <v>ANNA YT</v>
          </cell>
          <cell r="H19">
            <v>111.24</v>
          </cell>
        </row>
        <row r="20">
          <cell r="A20" t="str">
            <v>AREZZO</v>
          </cell>
          <cell r="H20">
            <v>119</v>
          </cell>
        </row>
        <row r="21">
          <cell r="A21" t="str">
            <v>ARIA</v>
          </cell>
          <cell r="H21">
            <v>460.9</v>
          </cell>
        </row>
        <row r="22">
          <cell r="A22" t="str">
            <v>ARIES B</v>
          </cell>
          <cell r="H22">
            <v>434.5</v>
          </cell>
        </row>
        <row r="23">
          <cell r="A23" t="str">
            <v>ARMADA</v>
          </cell>
          <cell r="H23">
            <v>449</v>
          </cell>
        </row>
        <row r="24">
          <cell r="A24" t="str">
            <v>ARTICLE</v>
          </cell>
          <cell r="H24">
            <v>89</v>
          </cell>
        </row>
        <row r="25">
          <cell r="A25" t="str">
            <v>ARTWORKS</v>
          </cell>
          <cell r="H25">
            <v>344.5</v>
          </cell>
        </row>
        <row r="26">
          <cell r="A26" t="str">
            <v>ASTERI</v>
          </cell>
          <cell r="H26">
            <v>75.53</v>
          </cell>
        </row>
        <row r="27">
          <cell r="A27" t="str">
            <v>ATEZ</v>
          </cell>
          <cell r="H27">
            <v>343.46</v>
          </cell>
        </row>
        <row r="28">
          <cell r="A28" t="str">
            <v>ATHENA</v>
          </cell>
          <cell r="H28">
            <v>279.5</v>
          </cell>
        </row>
        <row r="29">
          <cell r="A29" t="str">
            <v>ATLANTIS</v>
          </cell>
          <cell r="H29">
            <v>244.59</v>
          </cell>
        </row>
        <row r="30">
          <cell r="A30" t="str">
            <v>ATLAS</v>
          </cell>
          <cell r="H30">
            <v>223.11</v>
          </cell>
        </row>
        <row r="31">
          <cell r="A31" t="str">
            <v>AURY</v>
          </cell>
          <cell r="H31">
            <v>154.5</v>
          </cell>
        </row>
        <row r="32">
          <cell r="A32" t="str">
            <v>AURY DOUBLE</v>
          </cell>
          <cell r="H32">
            <v>329</v>
          </cell>
        </row>
        <row r="33">
          <cell r="A33" t="str">
            <v>AVALANCHE</v>
          </cell>
          <cell r="H33">
            <v>139</v>
          </cell>
        </row>
        <row r="34">
          <cell r="A34" t="str">
            <v>AXIS</v>
          </cell>
          <cell r="H34">
            <v>269.5</v>
          </cell>
        </row>
        <row r="35">
          <cell r="A35" t="str">
            <v>BACKGAMMON</v>
          </cell>
          <cell r="H35">
            <v>389</v>
          </cell>
        </row>
        <row r="36">
          <cell r="A36" t="str">
            <v>BAKER</v>
          </cell>
          <cell r="H36">
            <v>139</v>
          </cell>
        </row>
        <row r="37">
          <cell r="A37" t="str">
            <v>BALI</v>
          </cell>
          <cell r="H37">
            <v>112.89</v>
          </cell>
        </row>
        <row r="38">
          <cell r="A38" t="str">
            <v>BANDEAU</v>
          </cell>
          <cell r="H38">
            <v>396.68</v>
          </cell>
        </row>
        <row r="39">
          <cell r="A39" t="str">
            <v>BANDIT</v>
          </cell>
          <cell r="H39">
            <v>289</v>
          </cell>
        </row>
        <row r="40">
          <cell r="A40" t="str">
            <v>BARCE</v>
          </cell>
          <cell r="H40">
            <v>128.44999999999999</v>
          </cell>
        </row>
        <row r="41">
          <cell r="A41" t="str">
            <v>BARLETTA</v>
          </cell>
          <cell r="H41">
            <v>309</v>
          </cell>
        </row>
        <row r="42">
          <cell r="A42" t="str">
            <v>BARREL</v>
          </cell>
          <cell r="H42">
            <v>99</v>
          </cell>
        </row>
        <row r="43">
          <cell r="A43" t="str">
            <v xml:space="preserve">BASIC </v>
          </cell>
          <cell r="H43">
            <v>115.79</v>
          </cell>
        </row>
        <row r="44">
          <cell r="A44" t="str">
            <v>BEACHBAG</v>
          </cell>
          <cell r="H44">
            <v>439</v>
          </cell>
        </row>
        <row r="45">
          <cell r="A45" t="str">
            <v>BEANIE</v>
          </cell>
          <cell r="H45">
            <v>479</v>
          </cell>
        </row>
        <row r="46">
          <cell r="A46" t="str">
            <v>BECKON</v>
          </cell>
          <cell r="H46">
            <v>385.93</v>
          </cell>
        </row>
        <row r="47">
          <cell r="A47" t="str">
            <v>BELGIAN</v>
          </cell>
          <cell r="H47">
            <v>279</v>
          </cell>
        </row>
        <row r="48">
          <cell r="A48" t="str">
            <v>BELLA</v>
          </cell>
          <cell r="H48">
            <v>471.9</v>
          </cell>
        </row>
        <row r="49">
          <cell r="A49" t="str">
            <v>BELUCCI</v>
          </cell>
          <cell r="H49">
            <v>59.5</v>
          </cell>
        </row>
        <row r="50">
          <cell r="A50" t="str">
            <v>BENDER</v>
          </cell>
          <cell r="H50">
            <v>219</v>
          </cell>
        </row>
        <row r="51">
          <cell r="A51" t="str">
            <v>BERGEN</v>
          </cell>
          <cell r="H51">
            <v>209</v>
          </cell>
        </row>
        <row r="52">
          <cell r="A52" t="str">
            <v>BERMUDA</v>
          </cell>
          <cell r="H52">
            <v>319</v>
          </cell>
        </row>
        <row r="53">
          <cell r="A53" t="str">
            <v>BIKENDI</v>
          </cell>
          <cell r="H53">
            <v>99.5</v>
          </cell>
        </row>
        <row r="54">
          <cell r="A54" t="str">
            <v>BILLOW</v>
          </cell>
          <cell r="H54">
            <v>260</v>
          </cell>
        </row>
        <row r="55">
          <cell r="A55" t="str">
            <v>BISCOTTI</v>
          </cell>
          <cell r="H55">
            <v>159</v>
          </cell>
        </row>
        <row r="56">
          <cell r="A56" t="str">
            <v>BLEND</v>
          </cell>
          <cell r="H56">
            <v>95.77</v>
          </cell>
        </row>
        <row r="57">
          <cell r="A57" t="str">
            <v>BLOOM</v>
          </cell>
          <cell r="H57">
            <v>82.1</v>
          </cell>
        </row>
        <row r="58">
          <cell r="A58" t="str">
            <v>BOA</v>
          </cell>
          <cell r="H58">
            <v>419</v>
          </cell>
        </row>
        <row r="59">
          <cell r="A59" t="str">
            <v>BONO</v>
          </cell>
          <cell r="H59">
            <v>199.5</v>
          </cell>
        </row>
        <row r="60">
          <cell r="A60" t="str">
            <v>BONTA</v>
          </cell>
          <cell r="H60">
            <v>149</v>
          </cell>
        </row>
        <row r="61">
          <cell r="A61" t="str">
            <v>BOON</v>
          </cell>
          <cell r="H61">
            <v>114</v>
          </cell>
        </row>
        <row r="62">
          <cell r="A62" t="str">
            <v>BORA BORA</v>
          </cell>
          <cell r="H62">
            <v>399</v>
          </cell>
        </row>
        <row r="63">
          <cell r="A63" t="str">
            <v>BRAZIL</v>
          </cell>
          <cell r="H63">
            <v>469</v>
          </cell>
        </row>
        <row r="64">
          <cell r="A64" t="str">
            <v>BREATHE</v>
          </cell>
          <cell r="H64">
            <v>449</v>
          </cell>
        </row>
        <row r="65">
          <cell r="A65" t="str">
            <v>BRENT</v>
          </cell>
          <cell r="H65">
            <v>319</v>
          </cell>
        </row>
        <row r="66">
          <cell r="A66" t="str">
            <v>BRETON</v>
          </cell>
          <cell r="H66">
            <v>239.51</v>
          </cell>
        </row>
        <row r="67">
          <cell r="A67" t="str">
            <v>BRIANNE</v>
          </cell>
          <cell r="H67">
            <v>443.22</v>
          </cell>
        </row>
        <row r="68">
          <cell r="A68" t="str">
            <v>BRIGHT SIDE</v>
          </cell>
          <cell r="H68">
            <v>278.43</v>
          </cell>
        </row>
        <row r="69">
          <cell r="A69" t="str">
            <v>CADDYSHACK</v>
          </cell>
          <cell r="H69">
            <v>559</v>
          </cell>
        </row>
        <row r="70">
          <cell r="A70" t="str">
            <v>CAMARGUE</v>
          </cell>
          <cell r="H70">
            <v>259.5</v>
          </cell>
        </row>
        <row r="71">
          <cell r="A71" t="str">
            <v>CAMBRIDGE</v>
          </cell>
          <cell r="H71">
            <v>179.5</v>
          </cell>
        </row>
        <row r="72">
          <cell r="A72" t="str">
            <v>CANNOLI</v>
          </cell>
          <cell r="H72">
            <v>259</v>
          </cell>
        </row>
        <row r="73">
          <cell r="A73" t="str">
            <v>CANTERBURY</v>
          </cell>
          <cell r="H73">
            <v>369</v>
          </cell>
        </row>
        <row r="74">
          <cell r="A74" t="str">
            <v>CANVAS</v>
          </cell>
          <cell r="H74">
            <v>58.43</v>
          </cell>
        </row>
        <row r="75">
          <cell r="A75" t="str">
            <v>CAPADOCIA</v>
          </cell>
          <cell r="H75">
            <v>418.18</v>
          </cell>
        </row>
        <row r="76">
          <cell r="A76" t="str">
            <v>CAROSELLO</v>
          </cell>
          <cell r="H76">
            <v>251.9</v>
          </cell>
        </row>
        <row r="77">
          <cell r="A77" t="str">
            <v>CASCIA</v>
          </cell>
          <cell r="H77">
            <v>129</v>
          </cell>
        </row>
        <row r="78">
          <cell r="A78" t="str">
            <v>CASEY</v>
          </cell>
          <cell r="H78">
            <v>179.5</v>
          </cell>
        </row>
        <row r="79">
          <cell r="A79" t="str">
            <v>CASSIS</v>
          </cell>
          <cell r="H79">
            <v>89</v>
          </cell>
        </row>
        <row r="80">
          <cell r="A80" t="str">
            <v>CELESTIAL</v>
          </cell>
          <cell r="H80">
            <v>422.11</v>
          </cell>
        </row>
        <row r="81">
          <cell r="A81" t="str">
            <v>CHAIMA</v>
          </cell>
          <cell r="H81">
            <v>549</v>
          </cell>
        </row>
        <row r="82">
          <cell r="A82" t="str">
            <v>CHARLIE</v>
          </cell>
          <cell r="H82">
            <v>260</v>
          </cell>
        </row>
        <row r="83">
          <cell r="A83" t="str">
            <v>CHECK</v>
          </cell>
          <cell r="H83">
            <v>226.25</v>
          </cell>
        </row>
        <row r="84">
          <cell r="A84" t="str">
            <v>CHRONO</v>
          </cell>
          <cell r="H84">
            <v>156.4</v>
          </cell>
        </row>
        <row r="85">
          <cell r="A85" t="str">
            <v>CIGAR</v>
          </cell>
          <cell r="H85">
            <v>349</v>
          </cell>
        </row>
        <row r="86">
          <cell r="A86" t="str">
            <v>CLARA</v>
          </cell>
          <cell r="H86">
            <v>229.5</v>
          </cell>
        </row>
        <row r="87">
          <cell r="A87" t="str">
            <v>CLARITY</v>
          </cell>
          <cell r="H87">
            <v>59.08</v>
          </cell>
        </row>
        <row r="88">
          <cell r="A88" t="str">
            <v>COBRA</v>
          </cell>
          <cell r="H88">
            <v>449.5</v>
          </cell>
        </row>
        <row r="89">
          <cell r="A89" t="str">
            <v>COLLETE</v>
          </cell>
          <cell r="H89">
            <v>199</v>
          </cell>
        </row>
        <row r="90">
          <cell r="A90" t="str">
            <v>COPENHAGEN</v>
          </cell>
          <cell r="H90">
            <v>219.5</v>
          </cell>
        </row>
        <row r="91">
          <cell r="A91" t="str">
            <v>CORA</v>
          </cell>
          <cell r="H91">
            <v>117.17</v>
          </cell>
        </row>
        <row r="92">
          <cell r="A92" t="str">
            <v>CORBETT</v>
          </cell>
          <cell r="H92">
            <v>310.68</v>
          </cell>
        </row>
        <row r="93">
          <cell r="A93" t="str">
            <v>CORSICA</v>
          </cell>
          <cell r="H93">
            <v>259.5</v>
          </cell>
        </row>
        <row r="94">
          <cell r="A94" t="str">
            <v>COSMO</v>
          </cell>
          <cell r="H94">
            <v>85.05</v>
          </cell>
        </row>
        <row r="95">
          <cell r="A95" t="str">
            <v>COSSE</v>
          </cell>
          <cell r="H95">
            <v>299</v>
          </cell>
        </row>
        <row r="96">
          <cell r="A96" t="str">
            <v>COUNTRY</v>
          </cell>
          <cell r="H96">
            <v>319</v>
          </cell>
        </row>
        <row r="97">
          <cell r="A97" t="str">
            <v>COZY</v>
          </cell>
          <cell r="H97">
            <v>99</v>
          </cell>
        </row>
        <row r="98">
          <cell r="A98" t="str">
            <v>CULLEN</v>
          </cell>
          <cell r="H98">
            <v>319</v>
          </cell>
        </row>
        <row r="99">
          <cell r="A99" t="str">
            <v>CURLY</v>
          </cell>
          <cell r="H99">
            <v>399</v>
          </cell>
        </row>
        <row r="100">
          <cell r="A100" t="str">
            <v>DASH</v>
          </cell>
          <cell r="H100">
            <v>149</v>
          </cell>
        </row>
        <row r="101">
          <cell r="A101" t="str">
            <v>DAVENPORT</v>
          </cell>
          <cell r="H101">
            <v>218.4</v>
          </cell>
        </row>
        <row r="102">
          <cell r="A102" t="str">
            <v>DAYO</v>
          </cell>
          <cell r="H102">
            <v>457.75</v>
          </cell>
        </row>
        <row r="103">
          <cell r="A103" t="str">
            <v>DAZZLE</v>
          </cell>
          <cell r="H103">
            <v>79</v>
          </cell>
        </row>
        <row r="104">
          <cell r="A104" t="str">
            <v>DEITY</v>
          </cell>
          <cell r="H104">
            <v>422.03</v>
          </cell>
        </row>
        <row r="105">
          <cell r="A105" t="str">
            <v>DELUXE</v>
          </cell>
          <cell r="H105">
            <v>69.5</v>
          </cell>
        </row>
        <row r="106">
          <cell r="A106" t="str">
            <v>DENVER</v>
          </cell>
          <cell r="H106">
            <v>299.5</v>
          </cell>
        </row>
        <row r="107">
          <cell r="A107" t="str">
            <v>DIANA</v>
          </cell>
          <cell r="H107">
            <v>219</v>
          </cell>
        </row>
        <row r="108">
          <cell r="A108" t="str">
            <v>DISTRACTION</v>
          </cell>
          <cell r="H108">
            <v>177.94</v>
          </cell>
        </row>
        <row r="109">
          <cell r="A109" t="str">
            <v>DIVER</v>
          </cell>
          <cell r="H109">
            <v>679</v>
          </cell>
        </row>
        <row r="110">
          <cell r="A110" t="str">
            <v>DOLCE</v>
          </cell>
          <cell r="H110">
            <v>159</v>
          </cell>
        </row>
        <row r="111">
          <cell r="A111" t="str">
            <v>DOLLY</v>
          </cell>
          <cell r="H111">
            <v>289.70999999999998</v>
          </cell>
        </row>
        <row r="112">
          <cell r="A112" t="str">
            <v>DONATELLO</v>
          </cell>
          <cell r="H112">
            <v>199</v>
          </cell>
        </row>
        <row r="113">
          <cell r="A113" t="str">
            <v>DONNA</v>
          </cell>
          <cell r="H113">
            <v>394.4</v>
          </cell>
        </row>
        <row r="114">
          <cell r="A114" t="str">
            <v>DOVERDALE</v>
          </cell>
          <cell r="H114">
            <v>328.06</v>
          </cell>
        </row>
        <row r="115">
          <cell r="A115" t="str">
            <v>DREAMY</v>
          </cell>
          <cell r="H115">
            <v>299.5</v>
          </cell>
        </row>
        <row r="116">
          <cell r="A116" t="str">
            <v>DRESSCODE</v>
          </cell>
          <cell r="H116">
            <v>329</v>
          </cell>
        </row>
        <row r="117">
          <cell r="A117" t="str">
            <v>DRILL</v>
          </cell>
          <cell r="H117">
            <v>74.37</v>
          </cell>
        </row>
        <row r="118">
          <cell r="A118" t="str">
            <v>DUSK</v>
          </cell>
          <cell r="H118">
            <v>449</v>
          </cell>
        </row>
        <row r="119">
          <cell r="A119" t="str">
            <v>DUVAL</v>
          </cell>
          <cell r="H119">
            <v>106.43</v>
          </cell>
        </row>
        <row r="120">
          <cell r="A120" t="str">
            <v>DYNAMIC</v>
          </cell>
          <cell r="H120">
            <v>89</v>
          </cell>
        </row>
        <row r="121">
          <cell r="A121" t="str">
            <v>EAST POINT</v>
          </cell>
          <cell r="H121">
            <v>257.82</v>
          </cell>
        </row>
        <row r="122">
          <cell r="A122" t="str">
            <v>ECLIPSE</v>
          </cell>
          <cell r="H122">
            <v>125.76</v>
          </cell>
        </row>
        <row r="123">
          <cell r="A123" t="str">
            <v>ELAN</v>
          </cell>
          <cell r="H123">
            <v>264.5</v>
          </cell>
        </row>
        <row r="124">
          <cell r="A124" t="str">
            <v>ELEMENT</v>
          </cell>
          <cell r="H124">
            <v>64.5</v>
          </cell>
        </row>
        <row r="125">
          <cell r="A125" t="str">
            <v>ELISENDE</v>
          </cell>
          <cell r="H125">
            <v>463.94</v>
          </cell>
        </row>
        <row r="126">
          <cell r="A126" t="str">
            <v>ELITE</v>
          </cell>
          <cell r="H126">
            <v>101.12</v>
          </cell>
        </row>
        <row r="127">
          <cell r="A127" t="str">
            <v>EMILY</v>
          </cell>
          <cell r="H127">
            <v>159.5</v>
          </cell>
        </row>
        <row r="128">
          <cell r="A128" t="str">
            <v>EMILY DOUBLE</v>
          </cell>
          <cell r="H128">
            <v>339</v>
          </cell>
        </row>
        <row r="129">
          <cell r="A129" t="str">
            <v>EMMA</v>
          </cell>
          <cell r="H129">
            <v>117.17</v>
          </cell>
        </row>
        <row r="130">
          <cell r="A130" t="str">
            <v>ENIGMA</v>
          </cell>
          <cell r="H130">
            <v>79.5</v>
          </cell>
        </row>
        <row r="131">
          <cell r="A131" t="str">
            <v>ENORA</v>
          </cell>
          <cell r="H131">
            <v>69.5</v>
          </cell>
        </row>
        <row r="132">
          <cell r="A132" t="str">
            <v xml:space="preserve">ENYA </v>
          </cell>
          <cell r="H132">
            <v>273.58999999999997</v>
          </cell>
        </row>
        <row r="133">
          <cell r="A133" t="str">
            <v>ESSA</v>
          </cell>
          <cell r="H133">
            <v>296.45</v>
          </cell>
        </row>
        <row r="134">
          <cell r="A134" t="str">
            <v>EYELASH</v>
          </cell>
          <cell r="H134">
            <v>309</v>
          </cell>
        </row>
        <row r="135">
          <cell r="A135" t="str">
            <v>FANCY</v>
          </cell>
          <cell r="H135">
            <v>93.3</v>
          </cell>
        </row>
        <row r="136">
          <cell r="A136" t="str">
            <v>FARFALLA</v>
          </cell>
          <cell r="H136">
            <v>339.9</v>
          </cell>
        </row>
        <row r="137">
          <cell r="A137" t="str">
            <v>FASHION</v>
          </cell>
          <cell r="H137">
            <v>94.5</v>
          </cell>
        </row>
        <row r="138">
          <cell r="A138" t="str">
            <v>FAVARA</v>
          </cell>
          <cell r="H138">
            <v>383.9</v>
          </cell>
        </row>
        <row r="139">
          <cell r="A139" t="str">
            <v>FAVIA</v>
          </cell>
          <cell r="H139">
            <v>419</v>
          </cell>
        </row>
        <row r="140">
          <cell r="A140" t="str">
            <v>FEATHER</v>
          </cell>
          <cell r="H140">
            <v>379</v>
          </cell>
        </row>
        <row r="141">
          <cell r="A141" t="str">
            <v>FIDENZA</v>
          </cell>
          <cell r="H141">
            <v>299</v>
          </cell>
        </row>
        <row r="142">
          <cell r="A142" t="str">
            <v>FIORA</v>
          </cell>
          <cell r="H142">
            <v>84.5</v>
          </cell>
        </row>
        <row r="143">
          <cell r="A143" t="str">
            <v>FIUME</v>
          </cell>
          <cell r="H143">
            <v>219</v>
          </cell>
        </row>
        <row r="144">
          <cell r="A144" t="str">
            <v>FLAGSTAFF</v>
          </cell>
          <cell r="H144">
            <v>209</v>
          </cell>
        </row>
        <row r="145">
          <cell r="A145" t="str">
            <v>FLEUR *(ECL)</v>
          </cell>
          <cell r="H145">
            <v>394.87</v>
          </cell>
        </row>
        <row r="146">
          <cell r="A146" t="str">
            <v>FLY</v>
          </cell>
          <cell r="H146">
            <v>129</v>
          </cell>
        </row>
        <row r="147">
          <cell r="A147" t="str">
            <v>FOOTPATH</v>
          </cell>
          <cell r="H147">
            <v>425.82</v>
          </cell>
        </row>
        <row r="148">
          <cell r="A148" t="str">
            <v>FOREVER PLUS</v>
          </cell>
          <cell r="H148">
            <v>84</v>
          </cell>
        </row>
        <row r="149">
          <cell r="A149" t="str">
            <v>FREEDOM</v>
          </cell>
          <cell r="H149">
            <v>89.55</v>
          </cell>
        </row>
        <row r="150">
          <cell r="A150" t="str">
            <v>FREEPORT</v>
          </cell>
          <cell r="H150">
            <v>359</v>
          </cell>
        </row>
        <row r="151">
          <cell r="A151" t="str">
            <v>FRESH</v>
          </cell>
          <cell r="H151">
            <v>139.5</v>
          </cell>
        </row>
        <row r="152">
          <cell r="A152" t="str">
            <v>FRESNO</v>
          </cell>
          <cell r="H152">
            <v>189.5</v>
          </cell>
        </row>
        <row r="153">
          <cell r="A153" t="str">
            <v>FRIDA</v>
          </cell>
          <cell r="H153">
            <v>189.5</v>
          </cell>
        </row>
        <row r="154">
          <cell r="A154" t="str">
            <v>FURSONA</v>
          </cell>
          <cell r="H154">
            <v>249</v>
          </cell>
        </row>
        <row r="155">
          <cell r="A155" t="str">
            <v>GALASSIA</v>
          </cell>
          <cell r="H155">
            <v>199</v>
          </cell>
        </row>
        <row r="156">
          <cell r="A156" t="str">
            <v>GELLAR</v>
          </cell>
          <cell r="H156">
            <v>199</v>
          </cell>
        </row>
        <row r="157">
          <cell r="A157" t="str">
            <v>GENE</v>
          </cell>
          <cell r="H157">
            <v>289.26</v>
          </cell>
        </row>
        <row r="158">
          <cell r="A158" t="str">
            <v>GENOVA</v>
          </cell>
          <cell r="H158">
            <v>174.5</v>
          </cell>
        </row>
        <row r="159">
          <cell r="A159" t="str">
            <v>GEORGES</v>
          </cell>
          <cell r="H159">
            <v>209</v>
          </cell>
        </row>
        <row r="160">
          <cell r="A160" t="str">
            <v>GIOVE</v>
          </cell>
          <cell r="H160">
            <v>229</v>
          </cell>
        </row>
        <row r="161">
          <cell r="A161" t="str">
            <v>GLOW</v>
          </cell>
          <cell r="H161">
            <v>109</v>
          </cell>
        </row>
        <row r="162">
          <cell r="A162" t="str">
            <v>GRANOLA</v>
          </cell>
          <cell r="H162">
            <v>139</v>
          </cell>
        </row>
        <row r="163">
          <cell r="A163" t="str">
            <v>GRASSROOTS</v>
          </cell>
          <cell r="H163">
            <v>169</v>
          </cell>
        </row>
        <row r="164">
          <cell r="A164" t="str">
            <v>HADY</v>
          </cell>
          <cell r="H164">
            <v>117.18</v>
          </cell>
        </row>
        <row r="165">
          <cell r="A165" t="str">
            <v>HAILEY</v>
          </cell>
          <cell r="H165">
            <v>199</v>
          </cell>
        </row>
        <row r="166">
          <cell r="A166" t="str">
            <v>HANG TEN</v>
          </cell>
          <cell r="H166">
            <v>279</v>
          </cell>
        </row>
        <row r="167">
          <cell r="A167" t="str">
            <v>HANK</v>
          </cell>
          <cell r="H167">
            <v>179</v>
          </cell>
        </row>
        <row r="168">
          <cell r="A168" t="str">
            <v>HARMONY</v>
          </cell>
          <cell r="H168">
            <v>69</v>
          </cell>
        </row>
        <row r="169">
          <cell r="A169" t="str">
            <v>HEAVEN</v>
          </cell>
          <cell r="H169">
            <v>175.9</v>
          </cell>
        </row>
        <row r="170">
          <cell r="A170" t="str">
            <v>HELSINKI</v>
          </cell>
          <cell r="H170">
            <v>128.46</v>
          </cell>
        </row>
        <row r="171">
          <cell r="A171" t="str">
            <v>HIGH LIVING</v>
          </cell>
          <cell r="H171">
            <v>199.03</v>
          </cell>
        </row>
        <row r="172">
          <cell r="A172" t="str">
            <v>HIGHLIGHT</v>
          </cell>
          <cell r="H172">
            <v>62</v>
          </cell>
        </row>
        <row r="173">
          <cell r="A173" t="str">
            <v>HINGE</v>
          </cell>
          <cell r="H173">
            <v>319</v>
          </cell>
        </row>
        <row r="174">
          <cell r="A174" t="str">
            <v>HOLLAND VELVET</v>
          </cell>
          <cell r="H174">
            <v>74.5</v>
          </cell>
        </row>
        <row r="175">
          <cell r="A175" t="str">
            <v>ICON</v>
          </cell>
          <cell r="H175">
            <v>104.5</v>
          </cell>
        </row>
        <row r="176">
          <cell r="A176" t="str">
            <v>IMPERIO</v>
          </cell>
          <cell r="H176">
            <v>139.49</v>
          </cell>
        </row>
        <row r="177">
          <cell r="A177" t="str">
            <v>IMPERIO PLUS</v>
          </cell>
          <cell r="H177">
            <v>79.5</v>
          </cell>
        </row>
        <row r="178">
          <cell r="A178" t="str">
            <v>INCANTO</v>
          </cell>
          <cell r="H178">
            <v>149</v>
          </cell>
        </row>
        <row r="179">
          <cell r="A179" t="str">
            <v>INDUS</v>
          </cell>
          <cell r="H179">
            <v>149</v>
          </cell>
        </row>
        <row r="180">
          <cell r="A180" t="str">
            <v>INTERLACE</v>
          </cell>
          <cell r="H180">
            <v>759</v>
          </cell>
        </row>
        <row r="181">
          <cell r="A181" t="str">
            <v>INVERNO</v>
          </cell>
          <cell r="H181">
            <v>209</v>
          </cell>
        </row>
        <row r="182">
          <cell r="A182" t="str">
            <v>IRIS</v>
          </cell>
          <cell r="H182">
            <v>181.37</v>
          </cell>
        </row>
        <row r="183">
          <cell r="A183" t="str">
            <v>ISABELLA</v>
          </cell>
          <cell r="H183">
            <v>251.9</v>
          </cell>
        </row>
        <row r="184">
          <cell r="A184" t="str">
            <v>ISHARA</v>
          </cell>
          <cell r="H184">
            <v>349</v>
          </cell>
        </row>
        <row r="185">
          <cell r="A185" t="str">
            <v>ITALIAN VELVET</v>
          </cell>
          <cell r="H185">
            <v>79.5</v>
          </cell>
        </row>
        <row r="186">
          <cell r="A186" t="str">
            <v>JAIPUR</v>
          </cell>
          <cell r="H186">
            <v>611.67999999999995</v>
          </cell>
        </row>
        <row r="187">
          <cell r="A187" t="str">
            <v>JANE</v>
          </cell>
          <cell r="H187">
            <v>69.5</v>
          </cell>
        </row>
        <row r="188">
          <cell r="A188" t="str">
            <v>JANE DOUBLE</v>
          </cell>
          <cell r="H188">
            <v>129</v>
          </cell>
        </row>
        <row r="189">
          <cell r="A189" t="str">
            <v>JAST</v>
          </cell>
          <cell r="H189">
            <v>229</v>
          </cell>
        </row>
        <row r="190">
          <cell r="A190" t="str">
            <v>JETTY</v>
          </cell>
          <cell r="H190">
            <v>199</v>
          </cell>
        </row>
        <row r="191">
          <cell r="A191" t="str">
            <v>JOVAN</v>
          </cell>
          <cell r="H191">
            <v>199.5</v>
          </cell>
        </row>
        <row r="192">
          <cell r="A192" t="str">
            <v>JULIETA</v>
          </cell>
          <cell r="H192">
            <v>299</v>
          </cell>
        </row>
        <row r="193">
          <cell r="A193" t="str">
            <v>JUNO</v>
          </cell>
          <cell r="H193">
            <v>189.5</v>
          </cell>
        </row>
        <row r="194">
          <cell r="A194" t="str">
            <v>KAIS</v>
          </cell>
          <cell r="H194">
            <v>239.5</v>
          </cell>
        </row>
        <row r="195">
          <cell r="A195" t="str">
            <v>KALAHARI</v>
          </cell>
          <cell r="H195">
            <v>259</v>
          </cell>
        </row>
        <row r="196">
          <cell r="A196" t="str">
            <v>KALI</v>
          </cell>
          <cell r="H196">
            <v>349</v>
          </cell>
        </row>
        <row r="197">
          <cell r="A197" t="str">
            <v>KATE</v>
          </cell>
          <cell r="H197">
            <v>138.57</v>
          </cell>
        </row>
        <row r="198">
          <cell r="A198" t="str">
            <v>KETEN</v>
          </cell>
          <cell r="H198">
            <v>69.02</v>
          </cell>
        </row>
        <row r="199">
          <cell r="A199" t="str">
            <v xml:space="preserve">KEYNOTE </v>
          </cell>
          <cell r="H199">
            <v>721.84</v>
          </cell>
        </row>
        <row r="200">
          <cell r="A200" t="str">
            <v>KIBA</v>
          </cell>
          <cell r="H200">
            <v>86.5</v>
          </cell>
        </row>
        <row r="201">
          <cell r="A201" t="str">
            <v>KIMANA</v>
          </cell>
          <cell r="H201">
            <v>542.72</v>
          </cell>
        </row>
        <row r="202">
          <cell r="A202" t="str">
            <v>KIPTON</v>
          </cell>
          <cell r="H202">
            <v>289</v>
          </cell>
        </row>
        <row r="203">
          <cell r="A203" t="str">
            <v>KIRA</v>
          </cell>
          <cell r="H203">
            <v>262.69</v>
          </cell>
        </row>
        <row r="204">
          <cell r="A204" t="str">
            <v>KORI</v>
          </cell>
          <cell r="H204">
            <v>349</v>
          </cell>
        </row>
        <row r="205">
          <cell r="A205" t="str">
            <v>LAKAI</v>
          </cell>
          <cell r="H205">
            <v>259.07</v>
          </cell>
        </row>
        <row r="206">
          <cell r="A206" t="str">
            <v>LANDSCAPE</v>
          </cell>
          <cell r="H206">
            <v>899</v>
          </cell>
        </row>
        <row r="207">
          <cell r="A207" t="str">
            <v>LAYLA</v>
          </cell>
          <cell r="H207">
            <v>159.5</v>
          </cell>
        </row>
        <row r="208">
          <cell r="A208" t="str">
            <v>LAYLA DOUBLE</v>
          </cell>
          <cell r="H208">
            <v>339</v>
          </cell>
        </row>
        <row r="209">
          <cell r="A209" t="str">
            <v>LEGACY</v>
          </cell>
          <cell r="H209">
            <v>129</v>
          </cell>
        </row>
        <row r="210">
          <cell r="A210" t="str">
            <v>LENA</v>
          </cell>
          <cell r="H210">
            <v>229.5</v>
          </cell>
        </row>
        <row r="211">
          <cell r="A211" t="str">
            <v>LIA</v>
          </cell>
          <cell r="H211">
            <v>213.47</v>
          </cell>
        </row>
        <row r="212">
          <cell r="A212" t="str">
            <v>LIBERTA</v>
          </cell>
          <cell r="H212">
            <v>159</v>
          </cell>
        </row>
        <row r="213">
          <cell r="A213" t="str">
            <v>LIFEGUARD</v>
          </cell>
          <cell r="H213">
            <v>279</v>
          </cell>
        </row>
        <row r="214">
          <cell r="A214" t="str">
            <v>LINDELL</v>
          </cell>
          <cell r="H214">
            <v>361.73</v>
          </cell>
        </row>
        <row r="215">
          <cell r="A215" t="str">
            <v>LINUS</v>
          </cell>
          <cell r="H215">
            <v>332.18</v>
          </cell>
        </row>
        <row r="216">
          <cell r="A216" t="str">
            <v>LIVORNO</v>
          </cell>
          <cell r="H216">
            <v>209</v>
          </cell>
        </row>
        <row r="217">
          <cell r="A217" t="str">
            <v>LLOYD</v>
          </cell>
          <cell r="H217">
            <v>375.18</v>
          </cell>
        </row>
        <row r="218">
          <cell r="A218" t="str">
            <v xml:space="preserve">LOFT </v>
          </cell>
          <cell r="H218">
            <v>529</v>
          </cell>
        </row>
        <row r="219">
          <cell r="A219" t="str">
            <v>LORAX</v>
          </cell>
          <cell r="H219">
            <v>279</v>
          </cell>
        </row>
        <row r="220">
          <cell r="A220" t="str">
            <v>LOVEGOOD</v>
          </cell>
          <cell r="H220">
            <v>239</v>
          </cell>
        </row>
        <row r="221">
          <cell r="A221" t="str">
            <v>LOVEME</v>
          </cell>
          <cell r="H221">
            <v>149</v>
          </cell>
        </row>
        <row r="222">
          <cell r="A222" t="str">
            <v>LUCCA</v>
          </cell>
          <cell r="H222">
            <v>99.5</v>
          </cell>
        </row>
        <row r="223">
          <cell r="A223" t="str">
            <v>LULA</v>
          </cell>
          <cell r="H223">
            <v>319.93</v>
          </cell>
        </row>
        <row r="224">
          <cell r="A224" t="str">
            <v>LULLABY</v>
          </cell>
          <cell r="H224">
            <v>149</v>
          </cell>
        </row>
        <row r="225">
          <cell r="A225" t="str">
            <v>LYDUM</v>
          </cell>
          <cell r="H225">
            <v>289</v>
          </cell>
        </row>
        <row r="226">
          <cell r="A226" t="str">
            <v>MAGESTIC</v>
          </cell>
          <cell r="H226">
            <v>74.709999999999994</v>
          </cell>
        </row>
        <row r="227">
          <cell r="A227" t="str">
            <v>MAKAR</v>
          </cell>
          <cell r="H227">
            <v>409</v>
          </cell>
        </row>
        <row r="228">
          <cell r="A228" t="str">
            <v>MALIBU</v>
          </cell>
          <cell r="H228">
            <v>251.49</v>
          </cell>
        </row>
        <row r="229">
          <cell r="A229" t="str">
            <v>MAMBA</v>
          </cell>
          <cell r="H229">
            <v>449.5</v>
          </cell>
        </row>
        <row r="230">
          <cell r="A230" t="str">
            <v>MANTEO</v>
          </cell>
          <cell r="H230">
            <v>439</v>
          </cell>
        </row>
        <row r="231">
          <cell r="A231" t="str">
            <v>MAPPERTON</v>
          </cell>
          <cell r="H231">
            <v>328.06</v>
          </cell>
        </row>
        <row r="232">
          <cell r="A232" t="str">
            <v>MAPUH</v>
          </cell>
          <cell r="H232">
            <v>285.5</v>
          </cell>
        </row>
        <row r="233">
          <cell r="A233" t="str">
            <v>MARCUS</v>
          </cell>
          <cell r="H233">
            <v>94.5</v>
          </cell>
        </row>
        <row r="234">
          <cell r="A234" t="str">
            <v xml:space="preserve">MAX </v>
          </cell>
          <cell r="H234">
            <v>129.5</v>
          </cell>
        </row>
        <row r="235">
          <cell r="A235" t="str">
            <v>MAXIMUS</v>
          </cell>
          <cell r="H235">
            <v>674.5</v>
          </cell>
        </row>
        <row r="236">
          <cell r="A236" t="str">
            <v>MAYA</v>
          </cell>
          <cell r="H236">
            <v>117.17</v>
          </cell>
        </row>
        <row r="237">
          <cell r="A237" t="str">
            <v>MEDICI</v>
          </cell>
          <cell r="H237">
            <v>449.5</v>
          </cell>
        </row>
        <row r="238">
          <cell r="A238" t="str">
            <v>MELODY</v>
          </cell>
          <cell r="H238">
            <v>149.5</v>
          </cell>
        </row>
        <row r="239">
          <cell r="A239" t="str">
            <v>MELODY DOUBLE</v>
          </cell>
          <cell r="H239">
            <v>319</v>
          </cell>
        </row>
        <row r="240">
          <cell r="A240" t="str">
            <v>MERINO</v>
          </cell>
          <cell r="H240">
            <v>219.5</v>
          </cell>
        </row>
        <row r="241">
          <cell r="A241" t="str">
            <v>METROPOLITAN</v>
          </cell>
          <cell r="H241">
            <v>529</v>
          </cell>
        </row>
        <row r="242">
          <cell r="A242" t="str">
            <v xml:space="preserve">MILOS </v>
          </cell>
          <cell r="H242">
            <v>199.5</v>
          </cell>
        </row>
        <row r="243">
          <cell r="A243" t="str">
            <v>MIRABELLE</v>
          </cell>
          <cell r="H243">
            <v>315.35000000000002</v>
          </cell>
        </row>
        <row r="244">
          <cell r="A244" t="str">
            <v>MIRAGE</v>
          </cell>
          <cell r="H244">
            <v>289</v>
          </cell>
        </row>
        <row r="245">
          <cell r="A245" t="str">
            <v>MISHA</v>
          </cell>
          <cell r="H245">
            <v>419</v>
          </cell>
        </row>
        <row r="246">
          <cell r="A246" t="str">
            <v>MOANA</v>
          </cell>
          <cell r="H246">
            <v>249</v>
          </cell>
        </row>
        <row r="247">
          <cell r="A247" t="str">
            <v>MOCCASIN</v>
          </cell>
          <cell r="H247">
            <v>339</v>
          </cell>
        </row>
        <row r="248">
          <cell r="A248" t="str">
            <v>MOHAIR</v>
          </cell>
          <cell r="H248">
            <v>129</v>
          </cell>
        </row>
        <row r="249">
          <cell r="A249" t="str">
            <v>MONCHINO</v>
          </cell>
          <cell r="H249">
            <v>289</v>
          </cell>
        </row>
        <row r="250">
          <cell r="A250" t="str">
            <v>MONELLO</v>
          </cell>
          <cell r="H250">
            <v>299</v>
          </cell>
        </row>
        <row r="251">
          <cell r="A251" t="str">
            <v>MONET</v>
          </cell>
          <cell r="H251">
            <v>59</v>
          </cell>
        </row>
        <row r="252">
          <cell r="A252" t="str">
            <v>MONIQUE</v>
          </cell>
          <cell r="H252">
            <v>139</v>
          </cell>
        </row>
        <row r="253">
          <cell r="A253" t="str">
            <v>MONMOUTH</v>
          </cell>
          <cell r="H253">
            <v>366.28</v>
          </cell>
        </row>
        <row r="254">
          <cell r="A254" t="str">
            <v>MONTANA</v>
          </cell>
          <cell r="H254">
            <v>99.5</v>
          </cell>
        </row>
        <row r="255">
          <cell r="A255" t="str">
            <v>MONUMENT</v>
          </cell>
          <cell r="H255">
            <v>109.5</v>
          </cell>
        </row>
        <row r="256">
          <cell r="A256" t="str">
            <v>MORGAN</v>
          </cell>
          <cell r="H256">
            <v>252.16</v>
          </cell>
        </row>
        <row r="257">
          <cell r="A257" t="str">
            <v>MOSSA</v>
          </cell>
          <cell r="H257">
            <v>229</v>
          </cell>
        </row>
        <row r="258">
          <cell r="A258" t="str">
            <v>MURANO</v>
          </cell>
          <cell r="H258">
            <v>239</v>
          </cell>
        </row>
        <row r="259">
          <cell r="A259" t="str">
            <v>MUSTACHE</v>
          </cell>
          <cell r="H259">
            <v>419</v>
          </cell>
        </row>
        <row r="260">
          <cell r="A260" t="str">
            <v>MYSTERY</v>
          </cell>
          <cell r="H260">
            <v>74.5</v>
          </cell>
        </row>
        <row r="261">
          <cell r="A261" t="str">
            <v>NADIA</v>
          </cell>
          <cell r="H261">
            <v>239.5</v>
          </cell>
        </row>
        <row r="262">
          <cell r="A262" t="str">
            <v>NADIM</v>
          </cell>
          <cell r="H262">
            <v>237.87</v>
          </cell>
        </row>
        <row r="263">
          <cell r="A263" t="str">
            <v>NALA</v>
          </cell>
          <cell r="H263">
            <v>149</v>
          </cell>
        </row>
        <row r="264">
          <cell r="A264" t="str">
            <v>NAPOLES</v>
          </cell>
          <cell r="H264">
            <v>439</v>
          </cell>
        </row>
        <row r="265">
          <cell r="A265" t="str">
            <v>NAUTIC</v>
          </cell>
          <cell r="H265">
            <v>189</v>
          </cell>
        </row>
        <row r="266">
          <cell r="A266" t="str">
            <v>NETHERLAND</v>
          </cell>
          <cell r="H266">
            <v>299</v>
          </cell>
        </row>
        <row r="267">
          <cell r="A267" t="str">
            <v>NIMBUS</v>
          </cell>
          <cell r="H267">
            <v>119</v>
          </cell>
        </row>
        <row r="268">
          <cell r="A268" t="str">
            <v>NINA</v>
          </cell>
          <cell r="H268">
            <v>256.27</v>
          </cell>
        </row>
        <row r="269">
          <cell r="A269" t="str">
            <v>NOAH</v>
          </cell>
          <cell r="H269">
            <v>245.57</v>
          </cell>
        </row>
        <row r="270">
          <cell r="A270" t="str">
            <v>NORA</v>
          </cell>
          <cell r="H270">
            <v>239.5</v>
          </cell>
        </row>
        <row r="271">
          <cell r="A271" t="str">
            <v>NORDIC</v>
          </cell>
          <cell r="H271">
            <v>379</v>
          </cell>
        </row>
        <row r="272">
          <cell r="A272" t="str">
            <v>NOVARA</v>
          </cell>
          <cell r="H272">
            <v>339.9</v>
          </cell>
        </row>
        <row r="273">
          <cell r="A273" t="str">
            <v>NUDE BEACH</v>
          </cell>
          <cell r="H273">
            <v>321.43</v>
          </cell>
        </row>
        <row r="274">
          <cell r="A274" t="str">
            <v>NUVOLA</v>
          </cell>
          <cell r="H274">
            <v>149</v>
          </cell>
        </row>
        <row r="275">
          <cell r="A275" t="str">
            <v>OCALA</v>
          </cell>
          <cell r="H275">
            <v>198.41</v>
          </cell>
        </row>
        <row r="276">
          <cell r="A276" t="str">
            <v>ODYSSEY</v>
          </cell>
          <cell r="H276">
            <v>109.5</v>
          </cell>
        </row>
        <row r="277">
          <cell r="A277" t="str">
            <v>OLIVETO</v>
          </cell>
          <cell r="H277">
            <v>129</v>
          </cell>
        </row>
        <row r="278">
          <cell r="A278" t="str">
            <v>OMARI</v>
          </cell>
          <cell r="H278">
            <v>269</v>
          </cell>
        </row>
        <row r="279">
          <cell r="A279" t="str">
            <v>ONASIS</v>
          </cell>
          <cell r="H279">
            <v>422.03</v>
          </cell>
        </row>
        <row r="280">
          <cell r="A280" t="str">
            <v>OOLONG</v>
          </cell>
          <cell r="H280">
            <v>344.5</v>
          </cell>
        </row>
        <row r="281">
          <cell r="A281" t="str">
            <v>OPAL</v>
          </cell>
          <cell r="H281">
            <v>339.5</v>
          </cell>
        </row>
        <row r="282">
          <cell r="A282" t="str">
            <v>OPULENCE</v>
          </cell>
          <cell r="H282">
            <v>129</v>
          </cell>
        </row>
        <row r="283">
          <cell r="A283" t="str">
            <v>ORION</v>
          </cell>
          <cell r="H283">
            <v>344.5</v>
          </cell>
        </row>
        <row r="284">
          <cell r="A284" t="str">
            <v>ORSO</v>
          </cell>
          <cell r="H284">
            <v>493.9</v>
          </cell>
        </row>
        <row r="285">
          <cell r="A285" t="str">
            <v>OSMAN</v>
          </cell>
          <cell r="H285">
            <v>643.92999999999995</v>
          </cell>
        </row>
        <row r="286">
          <cell r="A286" t="str">
            <v>OUTRIGGER</v>
          </cell>
          <cell r="H286">
            <v>158.1</v>
          </cell>
        </row>
        <row r="287">
          <cell r="A287" t="str">
            <v>OXFORD</v>
          </cell>
          <cell r="H287">
            <v>99.5</v>
          </cell>
        </row>
        <row r="288">
          <cell r="A288" t="str">
            <v>PACINO</v>
          </cell>
          <cell r="H288">
            <v>74</v>
          </cell>
        </row>
        <row r="289">
          <cell r="A289" t="str">
            <v>PALERMO</v>
          </cell>
          <cell r="H289">
            <v>489</v>
          </cell>
        </row>
        <row r="290">
          <cell r="A290" t="str">
            <v>PAMLICO</v>
          </cell>
          <cell r="H290">
            <v>489.5</v>
          </cell>
        </row>
        <row r="291">
          <cell r="A291" t="str">
            <v>PAOLO</v>
          </cell>
          <cell r="H291">
            <v>185.9</v>
          </cell>
        </row>
        <row r="292">
          <cell r="A292" t="str">
            <v xml:space="preserve">PASSION </v>
          </cell>
          <cell r="H292">
            <v>64.5</v>
          </cell>
        </row>
        <row r="293">
          <cell r="A293" t="str">
            <v>PEBBLE</v>
          </cell>
          <cell r="H293">
            <v>119.5</v>
          </cell>
        </row>
        <row r="294">
          <cell r="A294" t="str">
            <v>PENCIL</v>
          </cell>
          <cell r="H294">
            <v>317.13</v>
          </cell>
        </row>
        <row r="295">
          <cell r="A295" t="str">
            <v>PEYTON</v>
          </cell>
          <cell r="H295">
            <v>179.5</v>
          </cell>
        </row>
        <row r="296">
          <cell r="A296" t="str">
            <v>PIAZZA</v>
          </cell>
          <cell r="H296">
            <v>632.58000000000004</v>
          </cell>
        </row>
        <row r="297">
          <cell r="A297" t="str">
            <v>PICKET</v>
          </cell>
          <cell r="H297">
            <v>329</v>
          </cell>
        </row>
        <row r="298">
          <cell r="A298" t="str">
            <v>PIER</v>
          </cell>
          <cell r="H298">
            <v>299</v>
          </cell>
        </row>
        <row r="299">
          <cell r="A299" t="str">
            <v>PIXEL</v>
          </cell>
          <cell r="H299">
            <v>64</v>
          </cell>
        </row>
        <row r="300">
          <cell r="A300" t="str">
            <v>PLAZA</v>
          </cell>
          <cell r="H300">
            <v>449.5</v>
          </cell>
        </row>
        <row r="301">
          <cell r="A301" t="str">
            <v>POINT</v>
          </cell>
          <cell r="H301">
            <v>225.19</v>
          </cell>
        </row>
        <row r="302">
          <cell r="A302" t="str">
            <v>POMPEII</v>
          </cell>
          <cell r="H302">
            <v>443.84</v>
          </cell>
        </row>
        <row r="303">
          <cell r="A303" t="str">
            <v>POPSTAR</v>
          </cell>
          <cell r="H303">
            <v>184.56</v>
          </cell>
        </row>
        <row r="304">
          <cell r="A304" t="str">
            <v>PRAIRIE</v>
          </cell>
          <cell r="H304">
            <v>369</v>
          </cell>
        </row>
        <row r="305">
          <cell r="A305" t="str">
            <v>PRATO</v>
          </cell>
          <cell r="H305">
            <v>249</v>
          </cell>
        </row>
        <row r="306">
          <cell r="A306" t="str">
            <v>PRESTIGE</v>
          </cell>
          <cell r="H306">
            <v>179</v>
          </cell>
        </row>
        <row r="307">
          <cell r="A307" t="str">
            <v>PRESTO</v>
          </cell>
          <cell r="H307">
            <v>169.5</v>
          </cell>
        </row>
        <row r="308">
          <cell r="A308" t="str">
            <v>PROHIBITION</v>
          </cell>
          <cell r="H308">
            <v>244.09</v>
          </cell>
        </row>
        <row r="309">
          <cell r="A309" t="str">
            <v>QUARRY</v>
          </cell>
          <cell r="H309">
            <v>339</v>
          </cell>
        </row>
        <row r="310">
          <cell r="A310" t="str">
            <v>QUE</v>
          </cell>
          <cell r="H310">
            <v>389</v>
          </cell>
        </row>
        <row r="311">
          <cell r="A311" t="str">
            <v>QUINCY</v>
          </cell>
          <cell r="H311">
            <v>79</v>
          </cell>
        </row>
        <row r="312">
          <cell r="A312" t="str">
            <v>RAG-RUG</v>
          </cell>
          <cell r="H312">
            <v>439</v>
          </cell>
        </row>
        <row r="313">
          <cell r="A313" t="str">
            <v>RAPTURE</v>
          </cell>
          <cell r="H313">
            <v>436.48</v>
          </cell>
        </row>
        <row r="314">
          <cell r="A314" t="str">
            <v>RAYOS</v>
          </cell>
          <cell r="H314">
            <v>154.80000000000001</v>
          </cell>
        </row>
        <row r="315">
          <cell r="A315" t="str">
            <v xml:space="preserve">REEF </v>
          </cell>
          <cell r="H315">
            <v>479</v>
          </cell>
        </row>
        <row r="316">
          <cell r="A316" t="str">
            <v>REFLECT</v>
          </cell>
          <cell r="H316">
            <v>74</v>
          </cell>
        </row>
        <row r="317">
          <cell r="A317" t="str">
            <v>RHONA</v>
          </cell>
          <cell r="H317">
            <v>94</v>
          </cell>
        </row>
        <row r="318">
          <cell r="A318" t="str">
            <v>RICOCHET</v>
          </cell>
          <cell r="H318">
            <v>209.5</v>
          </cell>
        </row>
        <row r="319">
          <cell r="A319" t="str">
            <v>RIO</v>
          </cell>
          <cell r="H319">
            <v>189</v>
          </cell>
        </row>
        <row r="320">
          <cell r="A320" t="str">
            <v>RIVA</v>
          </cell>
          <cell r="H320">
            <v>149</v>
          </cell>
        </row>
        <row r="321">
          <cell r="A321" t="str">
            <v>ROLO</v>
          </cell>
          <cell r="H321">
            <v>319</v>
          </cell>
        </row>
        <row r="322">
          <cell r="A322" t="str">
            <v>ROMANI</v>
          </cell>
          <cell r="H322">
            <v>199</v>
          </cell>
        </row>
        <row r="323">
          <cell r="A323" t="str">
            <v>ROMEO</v>
          </cell>
          <cell r="H323">
            <v>229</v>
          </cell>
        </row>
        <row r="324">
          <cell r="A324" t="str">
            <v>RONDA</v>
          </cell>
          <cell r="H324">
            <v>69.5</v>
          </cell>
        </row>
        <row r="325">
          <cell r="A325" t="str">
            <v>ROSLYN</v>
          </cell>
          <cell r="H325">
            <v>129</v>
          </cell>
        </row>
        <row r="326">
          <cell r="A326" t="str">
            <v>RUBAN</v>
          </cell>
          <cell r="H326">
            <v>399</v>
          </cell>
        </row>
        <row r="327">
          <cell r="A327" t="str">
            <v>RUMBA</v>
          </cell>
          <cell r="H327">
            <v>278.43</v>
          </cell>
        </row>
        <row r="328">
          <cell r="A328" t="str">
            <v>RUSTY</v>
          </cell>
          <cell r="H328">
            <v>159</v>
          </cell>
        </row>
        <row r="329">
          <cell r="A329" t="str">
            <v>RYDER</v>
          </cell>
          <cell r="H329">
            <v>349</v>
          </cell>
        </row>
        <row r="330">
          <cell r="A330" t="str">
            <v>SABBIA</v>
          </cell>
          <cell r="H330">
            <v>189</v>
          </cell>
        </row>
        <row r="331">
          <cell r="A331" t="str">
            <v>SAHARA</v>
          </cell>
          <cell r="H331">
            <v>219.5</v>
          </cell>
        </row>
        <row r="332">
          <cell r="A332" t="str">
            <v>SAILAWAY</v>
          </cell>
          <cell r="H332">
            <v>559</v>
          </cell>
        </row>
        <row r="333">
          <cell r="A333" t="str">
            <v>SALVATORE</v>
          </cell>
          <cell r="H333">
            <v>845.9</v>
          </cell>
        </row>
        <row r="334">
          <cell r="A334" t="str">
            <v>SAMBA</v>
          </cell>
          <cell r="H334">
            <v>319</v>
          </cell>
        </row>
        <row r="335">
          <cell r="A335" t="str">
            <v>SAMOA</v>
          </cell>
          <cell r="H335">
            <v>349</v>
          </cell>
        </row>
        <row r="336">
          <cell r="A336" t="str">
            <v>SAN REMO</v>
          </cell>
          <cell r="H336">
            <v>279.5</v>
          </cell>
        </row>
        <row r="337">
          <cell r="A337" t="str">
            <v>SAPPHIRE</v>
          </cell>
          <cell r="H337">
            <v>399.5</v>
          </cell>
        </row>
        <row r="338">
          <cell r="A338" t="str">
            <v>SARA</v>
          </cell>
          <cell r="H338">
            <v>229.5</v>
          </cell>
        </row>
        <row r="339">
          <cell r="A339" t="str">
            <v>SASSARI</v>
          </cell>
          <cell r="H339">
            <v>350.9</v>
          </cell>
        </row>
        <row r="340">
          <cell r="A340" t="str">
            <v>SCAR</v>
          </cell>
          <cell r="H340">
            <v>104</v>
          </cell>
        </row>
        <row r="341">
          <cell r="A341" t="str">
            <v>SCOTTSDALE</v>
          </cell>
          <cell r="H341">
            <v>169</v>
          </cell>
        </row>
        <row r="342">
          <cell r="A342" t="str">
            <v xml:space="preserve">SEA &amp; GARDEN </v>
          </cell>
          <cell r="H342">
            <v>269</v>
          </cell>
        </row>
        <row r="343">
          <cell r="A343" t="str">
            <v>SEADOG</v>
          </cell>
          <cell r="H343">
            <v>319</v>
          </cell>
        </row>
        <row r="344">
          <cell r="A344" t="str">
            <v>SEAPORT</v>
          </cell>
          <cell r="H344">
            <v>289.18</v>
          </cell>
        </row>
        <row r="345">
          <cell r="A345" t="str">
            <v>SECRET</v>
          </cell>
          <cell r="H345">
            <v>119</v>
          </cell>
        </row>
        <row r="346">
          <cell r="A346" t="str">
            <v>SHEEBA</v>
          </cell>
          <cell r="H346">
            <v>489.5</v>
          </cell>
        </row>
        <row r="347">
          <cell r="A347" t="str">
            <v>SHETLAND</v>
          </cell>
          <cell r="H347">
            <v>194.5</v>
          </cell>
        </row>
        <row r="348">
          <cell r="A348" t="str">
            <v>SHIVER</v>
          </cell>
          <cell r="H348">
            <v>429</v>
          </cell>
        </row>
        <row r="349">
          <cell r="A349" t="str">
            <v>SICILIA</v>
          </cell>
          <cell r="H349">
            <v>169</v>
          </cell>
        </row>
        <row r="350">
          <cell r="A350" t="str">
            <v>SIENA</v>
          </cell>
          <cell r="H350">
            <v>169.5</v>
          </cell>
        </row>
        <row r="351">
          <cell r="A351" t="str">
            <v>SKADDAN</v>
          </cell>
          <cell r="H351">
            <v>292.82</v>
          </cell>
        </row>
        <row r="352">
          <cell r="A352" t="str">
            <v>SKYBOX</v>
          </cell>
          <cell r="H352">
            <v>329</v>
          </cell>
        </row>
        <row r="353">
          <cell r="A353" t="str">
            <v>SKYLAR</v>
          </cell>
          <cell r="H353">
            <v>359</v>
          </cell>
        </row>
        <row r="354">
          <cell r="A354" t="str">
            <v>SNOWDON</v>
          </cell>
          <cell r="H354">
            <v>399</v>
          </cell>
        </row>
        <row r="355">
          <cell r="A355" t="str">
            <v>SOHO</v>
          </cell>
          <cell r="H355">
            <v>99.5</v>
          </cell>
        </row>
        <row r="356">
          <cell r="A356" t="str">
            <v>SOLID</v>
          </cell>
          <cell r="H356">
            <v>69</v>
          </cell>
        </row>
        <row r="357">
          <cell r="A357" t="str">
            <v>SOMERFIELD</v>
          </cell>
          <cell r="H357">
            <v>384.21</v>
          </cell>
        </row>
        <row r="358">
          <cell r="A358" t="str">
            <v>SORELLA</v>
          </cell>
          <cell r="H358">
            <v>249</v>
          </cell>
        </row>
        <row r="359">
          <cell r="A359" t="str">
            <v>SOULMATE</v>
          </cell>
          <cell r="H359">
            <v>302.08999999999997</v>
          </cell>
        </row>
        <row r="360">
          <cell r="A360" t="str">
            <v>SPARK</v>
          </cell>
          <cell r="H360">
            <v>93.13</v>
          </cell>
        </row>
        <row r="361">
          <cell r="A361" t="str">
            <v>SPECTRUM</v>
          </cell>
          <cell r="H361">
            <v>81.5</v>
          </cell>
        </row>
        <row r="362">
          <cell r="A362" t="str">
            <v>SPHINX</v>
          </cell>
          <cell r="H362">
            <v>299</v>
          </cell>
        </row>
        <row r="363">
          <cell r="A363" t="str">
            <v>SPIRE</v>
          </cell>
          <cell r="H363">
            <v>389.23</v>
          </cell>
        </row>
        <row r="364">
          <cell r="A364" t="str">
            <v>SPRITE</v>
          </cell>
          <cell r="H364">
            <v>389</v>
          </cell>
        </row>
        <row r="365">
          <cell r="A365" t="str">
            <v>SPROUT</v>
          </cell>
          <cell r="H365">
            <v>289</v>
          </cell>
        </row>
        <row r="366">
          <cell r="A366" t="str">
            <v>ST CHARLES</v>
          </cell>
          <cell r="H366">
            <v>499</v>
          </cell>
        </row>
        <row r="367">
          <cell r="A367" t="str">
            <v>STELLA</v>
          </cell>
          <cell r="H367">
            <v>95.5</v>
          </cell>
        </row>
        <row r="368">
          <cell r="A368" t="str">
            <v>SUGARSHACK</v>
          </cell>
          <cell r="H368">
            <v>212.52</v>
          </cell>
        </row>
        <row r="369">
          <cell r="A369" t="str">
            <v>SUREFIRE</v>
          </cell>
          <cell r="H369">
            <v>139</v>
          </cell>
        </row>
        <row r="370">
          <cell r="A370" t="str">
            <v>SWEETHEART</v>
          </cell>
          <cell r="H370">
            <v>489.5</v>
          </cell>
        </row>
        <row r="371">
          <cell r="A371" t="str">
            <v>TARA</v>
          </cell>
          <cell r="H371">
            <v>199</v>
          </cell>
        </row>
        <row r="372">
          <cell r="A372" t="str">
            <v>TESSA</v>
          </cell>
          <cell r="H372">
            <v>104.5</v>
          </cell>
        </row>
        <row r="373">
          <cell r="A373" t="str">
            <v>TIFFANY</v>
          </cell>
          <cell r="H373">
            <v>209</v>
          </cell>
        </row>
        <row r="374">
          <cell r="A374" t="str">
            <v>TIMBALES</v>
          </cell>
          <cell r="H374">
            <v>649</v>
          </cell>
        </row>
        <row r="375">
          <cell r="A375" t="str">
            <v>TITUS</v>
          </cell>
          <cell r="H375">
            <v>109</v>
          </cell>
        </row>
        <row r="376">
          <cell r="A376" t="str">
            <v>TNT</v>
          </cell>
          <cell r="H376">
            <v>125.02</v>
          </cell>
        </row>
        <row r="377">
          <cell r="A377" t="str">
            <v>TOBY</v>
          </cell>
          <cell r="H377">
            <v>82</v>
          </cell>
        </row>
        <row r="378">
          <cell r="A378" t="str">
            <v>TONAL</v>
          </cell>
          <cell r="H378">
            <v>556.72</v>
          </cell>
        </row>
        <row r="379">
          <cell r="A379" t="str">
            <v>TOPAZ</v>
          </cell>
          <cell r="H379">
            <v>128.63999999999999</v>
          </cell>
        </row>
        <row r="380">
          <cell r="A380" t="str">
            <v xml:space="preserve">TOTO </v>
          </cell>
          <cell r="H380">
            <v>299.5</v>
          </cell>
        </row>
        <row r="381">
          <cell r="A381" t="str">
            <v>TOULON</v>
          </cell>
          <cell r="H381">
            <v>489.5</v>
          </cell>
        </row>
        <row r="382">
          <cell r="A382" t="str">
            <v>TRAFFIC</v>
          </cell>
          <cell r="H382">
            <v>84.5</v>
          </cell>
        </row>
        <row r="383">
          <cell r="A383" t="str">
            <v>TRANI</v>
          </cell>
          <cell r="H383">
            <v>259</v>
          </cell>
        </row>
        <row r="384">
          <cell r="A384" t="str">
            <v>TRIAD</v>
          </cell>
          <cell r="H384">
            <v>449.5</v>
          </cell>
        </row>
        <row r="385">
          <cell r="A385" t="str">
            <v>TROY</v>
          </cell>
          <cell r="H385">
            <v>59.5</v>
          </cell>
        </row>
        <row r="386">
          <cell r="A386" t="str">
            <v>TURINO</v>
          </cell>
          <cell r="H386">
            <v>203.73</v>
          </cell>
        </row>
        <row r="387">
          <cell r="A387" t="str">
            <v>VADA</v>
          </cell>
          <cell r="H387">
            <v>349</v>
          </cell>
        </row>
        <row r="388">
          <cell r="A388" t="str">
            <v>VALENTINA</v>
          </cell>
          <cell r="H388">
            <v>115.56</v>
          </cell>
        </row>
        <row r="389">
          <cell r="A389" t="str">
            <v>VARLEY</v>
          </cell>
          <cell r="H389">
            <v>209</v>
          </cell>
        </row>
        <row r="390">
          <cell r="A390" t="str">
            <v>VENUS</v>
          </cell>
          <cell r="H390">
            <v>319</v>
          </cell>
        </row>
        <row r="391">
          <cell r="A391" t="str">
            <v>VERONA</v>
          </cell>
          <cell r="H391">
            <v>259</v>
          </cell>
        </row>
        <row r="392">
          <cell r="A392" t="str">
            <v>VESPER</v>
          </cell>
          <cell r="H392">
            <v>324.5</v>
          </cell>
        </row>
        <row r="393">
          <cell r="A393" t="str">
            <v>VICENZA</v>
          </cell>
          <cell r="H393">
            <v>239</v>
          </cell>
        </row>
        <row r="394">
          <cell r="A394" t="str">
            <v>VICOLO</v>
          </cell>
          <cell r="H394">
            <v>493.9</v>
          </cell>
        </row>
        <row r="395">
          <cell r="A395" t="str">
            <v>VICTORY</v>
          </cell>
          <cell r="H395">
            <v>74.5</v>
          </cell>
        </row>
        <row r="396">
          <cell r="A396" t="str">
            <v>VITTORIA</v>
          </cell>
          <cell r="H396">
            <v>209</v>
          </cell>
        </row>
        <row r="397">
          <cell r="A397" t="str">
            <v>VIVACITY</v>
          </cell>
          <cell r="H397">
            <v>74</v>
          </cell>
        </row>
        <row r="398">
          <cell r="A398" t="str">
            <v>WAIKIKI</v>
          </cell>
          <cell r="H398">
            <v>259</v>
          </cell>
        </row>
        <row r="399">
          <cell r="A399" t="str">
            <v>WATER TREATMENT</v>
          </cell>
          <cell r="H399">
            <v>399</v>
          </cell>
        </row>
        <row r="400">
          <cell r="A400" t="str">
            <v>WEMBLEY</v>
          </cell>
          <cell r="H400">
            <v>439</v>
          </cell>
        </row>
        <row r="401">
          <cell r="A401" t="str">
            <v>WESLEY</v>
          </cell>
          <cell r="H401">
            <v>349</v>
          </cell>
        </row>
        <row r="402">
          <cell r="A402" t="str">
            <v>WESTWOOD</v>
          </cell>
          <cell r="H402">
            <v>259.5</v>
          </cell>
        </row>
        <row r="403">
          <cell r="A403" t="str">
            <v>WHISPER</v>
          </cell>
          <cell r="H403">
            <v>309</v>
          </cell>
        </row>
        <row r="404">
          <cell r="A404" t="str">
            <v>WINDSOR</v>
          </cell>
          <cell r="H404">
            <v>180.56</v>
          </cell>
        </row>
        <row r="405">
          <cell r="A405" t="str">
            <v>WISH</v>
          </cell>
          <cell r="H405">
            <v>99</v>
          </cell>
        </row>
        <row r="406">
          <cell r="A406" t="str">
            <v>WORSTED</v>
          </cell>
          <cell r="H406">
            <v>289</v>
          </cell>
        </row>
        <row r="407">
          <cell r="A407" t="str">
            <v>WYATT</v>
          </cell>
          <cell r="H407">
            <v>139.5</v>
          </cell>
        </row>
        <row r="408">
          <cell r="A408" t="str">
            <v>YES</v>
          </cell>
          <cell r="H408">
            <v>319</v>
          </cell>
        </row>
        <row r="409">
          <cell r="A409" t="str">
            <v>YOKO</v>
          </cell>
          <cell r="H409">
            <v>542.89</v>
          </cell>
        </row>
        <row r="410">
          <cell r="A410" t="str">
            <v>ZAPPA</v>
          </cell>
          <cell r="H410">
            <v>289</v>
          </cell>
        </row>
        <row r="411">
          <cell r="A411" t="str">
            <v>ZELPHIE</v>
          </cell>
          <cell r="H411">
            <v>269</v>
          </cell>
        </row>
        <row r="412">
          <cell r="A412" t="str">
            <v>ZENA</v>
          </cell>
          <cell r="H412">
            <v>179</v>
          </cell>
        </row>
        <row r="413">
          <cell r="A413" t="str">
            <v>ZENITH</v>
          </cell>
          <cell r="H413">
            <v>124.5</v>
          </cell>
        </row>
        <row r="414">
          <cell r="A414" t="str">
            <v>AIRBONE</v>
          </cell>
          <cell r="H414">
            <v>159</v>
          </cell>
        </row>
        <row r="415">
          <cell r="A415" t="str">
            <v>ALPHA</v>
          </cell>
          <cell r="H415">
            <v>42.5</v>
          </cell>
        </row>
        <row r="416">
          <cell r="A416" t="str">
            <v>AQUATIC</v>
          </cell>
          <cell r="H416">
            <v>219</v>
          </cell>
        </row>
        <row r="417">
          <cell r="A417" t="str">
            <v>BACO</v>
          </cell>
          <cell r="H417">
            <v>61.15</v>
          </cell>
        </row>
        <row r="418">
          <cell r="A418" t="str">
            <v>BALOO</v>
          </cell>
          <cell r="H418">
            <v>59</v>
          </cell>
        </row>
        <row r="419">
          <cell r="A419" t="str">
            <v>BANDANA</v>
          </cell>
          <cell r="H419">
            <v>149</v>
          </cell>
        </row>
        <row r="420">
          <cell r="A420" t="str">
            <v>BASKET</v>
          </cell>
          <cell r="H420">
            <v>77.83</v>
          </cell>
        </row>
        <row r="421">
          <cell r="A421" t="str">
            <v>BETANIA</v>
          </cell>
          <cell r="H421">
            <v>159</v>
          </cell>
        </row>
        <row r="422">
          <cell r="A422" t="str">
            <v>BLOSSOM</v>
          </cell>
          <cell r="H422">
            <v>219</v>
          </cell>
        </row>
        <row r="423">
          <cell r="A423" t="str">
            <v>BLUES</v>
          </cell>
          <cell r="H423">
            <v>69</v>
          </cell>
        </row>
        <row r="424">
          <cell r="A424" t="str">
            <v>BOLTON</v>
          </cell>
          <cell r="H424">
            <v>64</v>
          </cell>
        </row>
        <row r="425">
          <cell r="A425" t="str">
            <v>BRUNA</v>
          </cell>
          <cell r="H425">
            <v>69</v>
          </cell>
        </row>
        <row r="426">
          <cell r="A426" t="str">
            <v>CELINE</v>
          </cell>
          <cell r="H426">
            <v>239</v>
          </cell>
        </row>
        <row r="427">
          <cell r="A427" t="str">
            <v>CODY</v>
          </cell>
          <cell r="H427">
            <v>58.05</v>
          </cell>
        </row>
        <row r="428">
          <cell r="A428" t="str">
            <v>COVER</v>
          </cell>
          <cell r="H428">
            <v>52</v>
          </cell>
        </row>
        <row r="429">
          <cell r="A429" t="str">
            <v>DANA</v>
          </cell>
          <cell r="H429">
            <v>149</v>
          </cell>
        </row>
        <row r="430">
          <cell r="A430" t="str">
            <v>DANTE</v>
          </cell>
          <cell r="H430">
            <v>175.45</v>
          </cell>
        </row>
        <row r="431">
          <cell r="A431" t="str">
            <v>DESTINY</v>
          </cell>
          <cell r="H431">
            <v>126.22</v>
          </cell>
        </row>
        <row r="432">
          <cell r="A432" t="str">
            <v>DIAZ</v>
          </cell>
          <cell r="H432">
            <v>239</v>
          </cell>
        </row>
        <row r="433">
          <cell r="A433" t="str">
            <v>DONATO</v>
          </cell>
          <cell r="H433">
            <v>175.45</v>
          </cell>
        </row>
        <row r="434">
          <cell r="A434" t="str">
            <v>DRYLAND</v>
          </cell>
          <cell r="H434">
            <v>74.5</v>
          </cell>
        </row>
        <row r="435">
          <cell r="A435" t="str">
            <v>DYLAN</v>
          </cell>
          <cell r="H435">
            <v>49.5</v>
          </cell>
        </row>
        <row r="436">
          <cell r="A436" t="str">
            <v>ENJOY PLUS</v>
          </cell>
          <cell r="H436">
            <v>58.48</v>
          </cell>
        </row>
        <row r="437">
          <cell r="A437" t="str">
            <v>EQUINOX</v>
          </cell>
          <cell r="H437">
            <v>229</v>
          </cell>
        </row>
        <row r="438">
          <cell r="A438" t="str">
            <v>ESTI</v>
          </cell>
          <cell r="H438">
            <v>179</v>
          </cell>
        </row>
        <row r="439">
          <cell r="A439" t="str">
            <v>ETERNAL</v>
          </cell>
          <cell r="H439">
            <v>99</v>
          </cell>
        </row>
        <row r="440">
          <cell r="A440" t="str">
            <v>ETHAN</v>
          </cell>
          <cell r="H440">
            <v>229</v>
          </cell>
        </row>
        <row r="441">
          <cell r="A441" t="str">
            <v>FANBY</v>
          </cell>
          <cell r="H441">
            <v>274.5</v>
          </cell>
        </row>
        <row r="442">
          <cell r="A442" t="str">
            <v>FARRELL</v>
          </cell>
          <cell r="H442">
            <v>64.5</v>
          </cell>
        </row>
        <row r="443">
          <cell r="A443" t="str">
            <v>FLIP-FLOP</v>
          </cell>
          <cell r="H443">
            <v>72</v>
          </cell>
        </row>
        <row r="444">
          <cell r="A444" t="str">
            <v>FLIPZONE</v>
          </cell>
          <cell r="H444">
            <v>69</v>
          </cell>
        </row>
        <row r="445">
          <cell r="A445" t="str">
            <v>FLOFFY</v>
          </cell>
          <cell r="H445">
            <v>79</v>
          </cell>
        </row>
        <row r="446">
          <cell r="A446" t="str">
            <v>FLOYD</v>
          </cell>
          <cell r="H446">
            <v>44.5</v>
          </cell>
        </row>
        <row r="447">
          <cell r="A447" t="str">
            <v>FOGGY</v>
          </cell>
          <cell r="H447">
            <v>59</v>
          </cell>
        </row>
        <row r="448">
          <cell r="A448" t="str">
            <v>FONTAINE</v>
          </cell>
          <cell r="H448">
            <v>209</v>
          </cell>
        </row>
        <row r="449">
          <cell r="A449" t="str">
            <v>FUNK</v>
          </cell>
          <cell r="H449">
            <v>44</v>
          </cell>
        </row>
        <row r="450">
          <cell r="A450" t="str">
            <v>GARNER</v>
          </cell>
          <cell r="H450">
            <v>209</v>
          </cell>
        </row>
        <row r="451">
          <cell r="A451" t="str">
            <v>GLEN</v>
          </cell>
          <cell r="H451">
            <v>69</v>
          </cell>
        </row>
        <row r="452">
          <cell r="A452" t="str">
            <v>GLOSS</v>
          </cell>
          <cell r="H452">
            <v>69.5</v>
          </cell>
        </row>
        <row r="453">
          <cell r="A453" t="str">
            <v>GOSPEL</v>
          </cell>
          <cell r="H453">
            <v>64</v>
          </cell>
        </row>
        <row r="454">
          <cell r="A454" t="str">
            <v>GOTCHA</v>
          </cell>
          <cell r="H454">
            <v>64</v>
          </cell>
        </row>
        <row r="455">
          <cell r="A455" t="str">
            <v>HIGHLINE</v>
          </cell>
          <cell r="H455">
            <v>229</v>
          </cell>
        </row>
        <row r="456">
          <cell r="A456" t="str">
            <v>HOLLAND VELVET</v>
          </cell>
          <cell r="H456">
            <v>74.5</v>
          </cell>
        </row>
        <row r="457">
          <cell r="A457" t="str">
            <v>INDINA</v>
          </cell>
          <cell r="H457">
            <v>219</v>
          </cell>
        </row>
        <row r="458">
          <cell r="A458" t="str">
            <v>ITALIAN VELVET</v>
          </cell>
          <cell r="H458">
            <v>79.5</v>
          </cell>
        </row>
        <row r="459">
          <cell r="A459" t="str">
            <v>ITHACA</v>
          </cell>
          <cell r="H459">
            <v>74</v>
          </cell>
        </row>
        <row r="460">
          <cell r="A460" t="str">
            <v>JEFF</v>
          </cell>
          <cell r="H460">
            <v>49</v>
          </cell>
        </row>
        <row r="461">
          <cell r="A461" t="str">
            <v>JOPLIN</v>
          </cell>
          <cell r="H461">
            <v>239</v>
          </cell>
        </row>
        <row r="462">
          <cell r="A462" t="str">
            <v>KIMI</v>
          </cell>
          <cell r="H462">
            <v>79</v>
          </cell>
        </row>
        <row r="463">
          <cell r="A463" t="str">
            <v>KIRBY</v>
          </cell>
          <cell r="H463">
            <v>69</v>
          </cell>
        </row>
        <row r="464">
          <cell r="A464" t="str">
            <v>KISMET</v>
          </cell>
          <cell r="H464">
            <v>209</v>
          </cell>
        </row>
        <row r="465">
          <cell r="A465" t="str">
            <v>KLEIN</v>
          </cell>
          <cell r="H465">
            <v>64</v>
          </cell>
        </row>
        <row r="466">
          <cell r="A466" t="str">
            <v>LENY</v>
          </cell>
          <cell r="H466">
            <v>63.42</v>
          </cell>
        </row>
        <row r="467">
          <cell r="A467" t="str">
            <v>MAGIC</v>
          </cell>
          <cell r="H467">
            <v>52</v>
          </cell>
        </row>
        <row r="468">
          <cell r="A468" t="str">
            <v>MARTINA</v>
          </cell>
          <cell r="H468">
            <v>189.5</v>
          </cell>
        </row>
        <row r="469">
          <cell r="A469" t="str">
            <v>MINDFUL</v>
          </cell>
          <cell r="H469">
            <v>54</v>
          </cell>
        </row>
        <row r="470">
          <cell r="A470" t="str">
            <v>MISMATCH</v>
          </cell>
          <cell r="H470">
            <v>129</v>
          </cell>
        </row>
        <row r="471">
          <cell r="A471" t="str">
            <v>MOBY</v>
          </cell>
          <cell r="H471">
            <v>181.39</v>
          </cell>
        </row>
        <row r="472">
          <cell r="A472" t="str">
            <v>MODENA</v>
          </cell>
          <cell r="H472">
            <v>75.53</v>
          </cell>
        </row>
        <row r="473">
          <cell r="A473" t="str">
            <v>MONOLITH</v>
          </cell>
          <cell r="H473">
            <v>69</v>
          </cell>
        </row>
        <row r="474">
          <cell r="A474" t="str">
            <v>NATURE</v>
          </cell>
          <cell r="H474">
            <v>68.8</v>
          </cell>
        </row>
        <row r="475">
          <cell r="A475" t="str">
            <v>NEW RANGER</v>
          </cell>
          <cell r="H475">
            <v>64.5</v>
          </cell>
        </row>
        <row r="476">
          <cell r="A476" t="str">
            <v>NEXUS</v>
          </cell>
          <cell r="H476">
            <v>219</v>
          </cell>
        </row>
        <row r="477">
          <cell r="A477" t="str">
            <v>NICE SLICE</v>
          </cell>
          <cell r="H477">
            <v>269</v>
          </cell>
        </row>
        <row r="478">
          <cell r="A478" t="str">
            <v>NOVA</v>
          </cell>
          <cell r="H478">
            <v>54</v>
          </cell>
        </row>
        <row r="479">
          <cell r="A479" t="str">
            <v>OSI</v>
          </cell>
          <cell r="H479">
            <v>54</v>
          </cell>
        </row>
        <row r="480">
          <cell r="A480" t="str">
            <v>PANORAMIC</v>
          </cell>
          <cell r="H480">
            <v>189.5</v>
          </cell>
        </row>
        <row r="481">
          <cell r="A481" t="str">
            <v>PETULA</v>
          </cell>
          <cell r="H481">
            <v>229</v>
          </cell>
        </row>
        <row r="482">
          <cell r="A482" t="str">
            <v>PLAYTIME</v>
          </cell>
          <cell r="H482">
            <v>160.99</v>
          </cell>
        </row>
        <row r="483">
          <cell r="A483" t="str">
            <v>POP ART</v>
          </cell>
          <cell r="H483">
            <v>269</v>
          </cell>
        </row>
        <row r="484">
          <cell r="A484" t="str">
            <v>REFINED</v>
          </cell>
          <cell r="H484">
            <v>219</v>
          </cell>
        </row>
        <row r="485">
          <cell r="A485" t="str">
            <v>RHODES</v>
          </cell>
          <cell r="H485">
            <v>219</v>
          </cell>
        </row>
        <row r="486">
          <cell r="A486" t="str">
            <v>ROWDY</v>
          </cell>
          <cell r="H486">
            <v>94.5</v>
          </cell>
        </row>
        <row r="487">
          <cell r="A487" t="str">
            <v>RUSH</v>
          </cell>
          <cell r="H487">
            <v>59</v>
          </cell>
        </row>
        <row r="488">
          <cell r="A488" t="str">
            <v>SILHOUETTE</v>
          </cell>
          <cell r="H488">
            <v>219</v>
          </cell>
        </row>
        <row r="489">
          <cell r="A489" t="str">
            <v>SKIPPER</v>
          </cell>
          <cell r="H489">
            <v>209</v>
          </cell>
        </row>
        <row r="490">
          <cell r="A490" t="str">
            <v>SOUL</v>
          </cell>
          <cell r="H490">
            <v>62</v>
          </cell>
        </row>
        <row r="491">
          <cell r="A491" t="str">
            <v>SPARTA</v>
          </cell>
          <cell r="H491">
            <v>76.08</v>
          </cell>
        </row>
        <row r="492">
          <cell r="A492" t="str">
            <v>TALLIN</v>
          </cell>
          <cell r="H492">
            <v>169</v>
          </cell>
        </row>
        <row r="493">
          <cell r="A493" t="str">
            <v>TIARA</v>
          </cell>
          <cell r="H493">
            <v>336.49</v>
          </cell>
        </row>
        <row r="494">
          <cell r="A494" t="str">
            <v>TIC TAC</v>
          </cell>
          <cell r="H494">
            <v>299</v>
          </cell>
        </row>
        <row r="495">
          <cell r="A495" t="str">
            <v>TRIBAL</v>
          </cell>
          <cell r="H495">
            <v>169</v>
          </cell>
        </row>
        <row r="496">
          <cell r="A496" t="str">
            <v>TRIXIE</v>
          </cell>
          <cell r="H496">
            <v>52.89</v>
          </cell>
        </row>
        <row r="497">
          <cell r="A497" t="str">
            <v>TWEED</v>
          </cell>
          <cell r="H497">
            <v>74</v>
          </cell>
        </row>
        <row r="498">
          <cell r="A498" t="str">
            <v>VALENCIA</v>
          </cell>
          <cell r="H498">
            <v>69</v>
          </cell>
        </row>
        <row r="499">
          <cell r="A499" t="str">
            <v>VAULT</v>
          </cell>
          <cell r="H499">
            <v>279</v>
          </cell>
        </row>
        <row r="500">
          <cell r="A500" t="str">
            <v>VIXY</v>
          </cell>
          <cell r="H500">
            <v>62.5</v>
          </cell>
        </row>
        <row r="501">
          <cell r="A501" t="str">
            <v>VOGO</v>
          </cell>
          <cell r="H501">
            <v>59</v>
          </cell>
        </row>
        <row r="502">
          <cell r="A502" t="str">
            <v>WAY</v>
          </cell>
          <cell r="H502">
            <v>239</v>
          </cell>
        </row>
        <row r="503">
          <cell r="A503" t="str">
            <v>WHIMSY</v>
          </cell>
          <cell r="H503">
            <v>44</v>
          </cell>
        </row>
        <row r="504">
          <cell r="A504" t="str">
            <v>YUNOBO</v>
          </cell>
          <cell r="H504">
            <v>229</v>
          </cell>
        </row>
        <row r="505">
          <cell r="A505" t="str">
            <v>ZAIRE</v>
          </cell>
          <cell r="H505">
            <v>259</v>
          </cell>
        </row>
        <row r="506">
          <cell r="A506" t="str">
            <v>ZEALAND</v>
          </cell>
          <cell r="H506">
            <v>209</v>
          </cell>
        </row>
        <row r="507">
          <cell r="A507" t="str">
            <v>Alberta</v>
          </cell>
          <cell r="H507">
            <v>98.75</v>
          </cell>
        </row>
        <row r="508">
          <cell r="A508" t="str">
            <v>Amber</v>
          </cell>
          <cell r="H508">
            <v>198.45</v>
          </cell>
        </row>
        <row r="509">
          <cell r="A509" t="str">
            <v>Ancora</v>
          </cell>
          <cell r="H509">
            <v>149</v>
          </cell>
        </row>
        <row r="510">
          <cell r="A510" t="str">
            <v>Andorra</v>
          </cell>
          <cell r="H510">
            <v>102.66</v>
          </cell>
        </row>
        <row r="511">
          <cell r="A511" t="str">
            <v>Anza</v>
          </cell>
          <cell r="H511">
            <v>366.45</v>
          </cell>
        </row>
        <row r="512">
          <cell r="A512" t="str">
            <v>Apolo</v>
          </cell>
          <cell r="H512">
            <v>109.73</v>
          </cell>
        </row>
        <row r="513">
          <cell r="A513" t="str">
            <v>Applause</v>
          </cell>
          <cell r="H513">
            <v>263.45</v>
          </cell>
        </row>
        <row r="514">
          <cell r="A514" t="str">
            <v>Applegate</v>
          </cell>
          <cell r="H514">
            <v>207.9</v>
          </cell>
        </row>
        <row r="515">
          <cell r="A515" t="str">
            <v>Archer</v>
          </cell>
          <cell r="H515">
            <v>284.89999999999998</v>
          </cell>
        </row>
        <row r="516">
          <cell r="A516" t="str">
            <v>Aspen</v>
          </cell>
          <cell r="H516">
            <v>299</v>
          </cell>
        </row>
        <row r="517">
          <cell r="A517" t="str">
            <v>Atticus</v>
          </cell>
          <cell r="H517">
            <v>84</v>
          </cell>
        </row>
        <row r="518">
          <cell r="A518" t="str">
            <v>Aviñon</v>
          </cell>
          <cell r="H518">
            <v>159.5</v>
          </cell>
        </row>
        <row r="519">
          <cell r="A519" t="str">
            <v>Baja</v>
          </cell>
          <cell r="H519">
            <v>158.94999999999999</v>
          </cell>
        </row>
        <row r="520">
          <cell r="A520" t="str">
            <v>Bart</v>
          </cell>
          <cell r="H520">
            <v>84</v>
          </cell>
        </row>
        <row r="521">
          <cell r="A521" t="str">
            <v>Belgium</v>
          </cell>
          <cell r="H521">
            <v>296.45</v>
          </cell>
        </row>
        <row r="522">
          <cell r="A522" t="str">
            <v>Berkeley</v>
          </cell>
          <cell r="H522">
            <v>219.45</v>
          </cell>
        </row>
        <row r="523">
          <cell r="A523" t="str">
            <v>Berlin</v>
          </cell>
          <cell r="H523">
            <v>166.95</v>
          </cell>
        </row>
        <row r="524">
          <cell r="A524" t="str">
            <v>Betwixt</v>
          </cell>
          <cell r="H524">
            <v>361.9</v>
          </cell>
        </row>
        <row r="525">
          <cell r="A525" t="str">
            <v>Blake</v>
          </cell>
          <cell r="H525">
            <v>152.9</v>
          </cell>
        </row>
        <row r="526">
          <cell r="A526" t="str">
            <v>Bliss</v>
          </cell>
          <cell r="H526">
            <v>262.89999999999998</v>
          </cell>
        </row>
        <row r="527">
          <cell r="A527" t="str">
            <v>Bondy</v>
          </cell>
          <cell r="H527">
            <v>84</v>
          </cell>
        </row>
        <row r="528">
          <cell r="A528" t="str">
            <v>Bookmark</v>
          </cell>
          <cell r="H528">
            <v>361.73</v>
          </cell>
        </row>
        <row r="529">
          <cell r="A529" t="str">
            <v>Brave</v>
          </cell>
          <cell r="H529">
            <v>104.26</v>
          </cell>
        </row>
        <row r="530">
          <cell r="A530" t="str">
            <v>Burdeos</v>
          </cell>
          <cell r="H530">
            <v>66.98</v>
          </cell>
        </row>
        <row r="531">
          <cell r="A531" t="str">
            <v>Cannes</v>
          </cell>
          <cell r="H531">
            <v>351.45</v>
          </cell>
        </row>
        <row r="532">
          <cell r="A532" t="str">
            <v>Captivate</v>
          </cell>
          <cell r="H532">
            <v>416.9</v>
          </cell>
        </row>
        <row r="533">
          <cell r="A533" t="str">
            <v>Chad</v>
          </cell>
          <cell r="H533">
            <v>372.9</v>
          </cell>
        </row>
        <row r="534">
          <cell r="A534" t="str">
            <v>Chatham</v>
          </cell>
          <cell r="H534">
            <v>351.45</v>
          </cell>
        </row>
        <row r="535">
          <cell r="A535" t="str">
            <v>Columbia</v>
          </cell>
          <cell r="H535">
            <v>77.319999999999993</v>
          </cell>
        </row>
        <row r="536">
          <cell r="A536" t="str">
            <v>Cotton Tail</v>
          </cell>
          <cell r="H536">
            <v>214.72</v>
          </cell>
        </row>
        <row r="537">
          <cell r="A537" t="str">
            <v>Crash Velvet</v>
          </cell>
          <cell r="H537">
            <v>241.72</v>
          </cell>
        </row>
        <row r="538">
          <cell r="A538" t="str">
            <v>Crosby</v>
          </cell>
          <cell r="H538">
            <v>138.05000000000001</v>
          </cell>
        </row>
        <row r="539">
          <cell r="A539" t="str">
            <v>Cube
(IN &amp; OUT)</v>
          </cell>
          <cell r="H539">
            <v>172.92</v>
          </cell>
        </row>
        <row r="540">
          <cell r="A540" t="str">
            <v>Denver</v>
          </cell>
          <cell r="H540">
            <v>94.33</v>
          </cell>
        </row>
        <row r="541">
          <cell r="A541" t="str">
            <v>Denvor</v>
          </cell>
          <cell r="H541">
            <v>296.45</v>
          </cell>
        </row>
        <row r="542">
          <cell r="A542" t="str">
            <v>Dotty</v>
          </cell>
          <cell r="H542">
            <v>295.89999999999998</v>
          </cell>
        </row>
        <row r="543">
          <cell r="A543" t="str">
            <v>Duke</v>
          </cell>
          <cell r="H543">
            <v>79.2</v>
          </cell>
        </row>
        <row r="544">
          <cell r="A544" t="str">
            <v>Dundee</v>
          </cell>
          <cell r="H544">
            <v>296.45</v>
          </cell>
        </row>
        <row r="545">
          <cell r="A545" t="str">
            <v>Dunmore</v>
          </cell>
          <cell r="H545">
            <v>351.45</v>
          </cell>
        </row>
        <row r="546">
          <cell r="A546" t="str">
            <v>Ebb  and Flow</v>
          </cell>
          <cell r="H546">
            <v>419.48</v>
          </cell>
        </row>
        <row r="547">
          <cell r="A547" t="str">
            <v>Elsa</v>
          </cell>
          <cell r="H547">
            <v>329.45</v>
          </cell>
        </row>
        <row r="548">
          <cell r="A548" t="str">
            <v>Enzo</v>
          </cell>
          <cell r="H548">
            <v>329.45</v>
          </cell>
        </row>
        <row r="549">
          <cell r="A549" t="str">
            <v>Fiji</v>
          </cell>
          <cell r="H549">
            <v>246.4</v>
          </cell>
        </row>
        <row r="550">
          <cell r="A550" t="str">
            <v>Fitz</v>
          </cell>
          <cell r="H550">
            <v>207.9</v>
          </cell>
        </row>
        <row r="551">
          <cell r="A551" t="str">
            <v>Freya</v>
          </cell>
          <cell r="H551">
            <v>383.9</v>
          </cell>
        </row>
        <row r="552">
          <cell r="A552" t="str">
            <v>Fringe</v>
          </cell>
          <cell r="H552">
            <v>350.9</v>
          </cell>
        </row>
        <row r="553">
          <cell r="A553" t="str">
            <v>Galilee LB</v>
          </cell>
          <cell r="H553">
            <v>296.45</v>
          </cell>
        </row>
        <row r="554">
          <cell r="A554" t="str">
            <v>Gandhi</v>
          </cell>
          <cell r="H554">
            <v>263.45</v>
          </cell>
        </row>
        <row r="555">
          <cell r="A555" t="str">
            <v>Gante</v>
          </cell>
          <cell r="H555">
            <v>85.68</v>
          </cell>
        </row>
        <row r="556">
          <cell r="A556" t="str">
            <v>Gio</v>
          </cell>
          <cell r="H556">
            <v>428.45</v>
          </cell>
        </row>
        <row r="557">
          <cell r="A557" t="str">
            <v>Goldenrod</v>
          </cell>
          <cell r="H557">
            <v>405.9</v>
          </cell>
        </row>
        <row r="558">
          <cell r="A558" t="str">
            <v>Golf</v>
          </cell>
          <cell r="H558">
            <v>98.76</v>
          </cell>
        </row>
        <row r="559">
          <cell r="A559" t="str">
            <v>Grace</v>
          </cell>
          <cell r="H559">
            <v>273.89999999999998</v>
          </cell>
        </row>
        <row r="560">
          <cell r="A560" t="str">
            <v>Gravity</v>
          </cell>
          <cell r="H560">
            <v>75.900000000000006</v>
          </cell>
        </row>
        <row r="561">
          <cell r="A561" t="str">
            <v>Grenoble</v>
          </cell>
          <cell r="H561">
            <v>94.5</v>
          </cell>
        </row>
        <row r="562">
          <cell r="A562" t="str">
            <v>Grizzly</v>
          </cell>
          <cell r="H562">
            <v>87.45</v>
          </cell>
        </row>
        <row r="563">
          <cell r="A563" t="str">
            <v>Harper</v>
          </cell>
          <cell r="H563">
            <v>93.45</v>
          </cell>
        </row>
        <row r="564">
          <cell r="A564" t="str">
            <v>Havre</v>
          </cell>
          <cell r="H564">
            <v>67.47</v>
          </cell>
        </row>
        <row r="565">
          <cell r="A565" t="str">
            <v>Hera</v>
          </cell>
          <cell r="H565">
            <v>153.44999999999999</v>
          </cell>
        </row>
        <row r="566">
          <cell r="A566" t="str">
            <v>Herbie</v>
          </cell>
          <cell r="H566">
            <v>416.9</v>
          </cell>
        </row>
        <row r="567">
          <cell r="A567" t="str">
            <v>Iggy</v>
          </cell>
          <cell r="H567">
            <v>340.45</v>
          </cell>
        </row>
        <row r="568">
          <cell r="A568" t="str">
            <v>Indio</v>
          </cell>
          <cell r="H568">
            <v>328.9</v>
          </cell>
        </row>
        <row r="569">
          <cell r="A569" t="str">
            <v>Infinity</v>
          </cell>
          <cell r="H569">
            <v>87.29</v>
          </cell>
        </row>
        <row r="570">
          <cell r="A570" t="str">
            <v>Jace</v>
          </cell>
          <cell r="H570">
            <v>361.9</v>
          </cell>
        </row>
        <row r="571">
          <cell r="A571" t="str">
            <v>Jango</v>
          </cell>
          <cell r="H571">
            <v>483.45</v>
          </cell>
        </row>
        <row r="572">
          <cell r="A572" t="str">
            <v>Johana</v>
          </cell>
          <cell r="H572">
            <v>350.9</v>
          </cell>
        </row>
        <row r="573">
          <cell r="A573" t="str">
            <v>Joker</v>
          </cell>
          <cell r="H573">
            <v>378.95</v>
          </cell>
        </row>
        <row r="574">
          <cell r="A574" t="str">
            <v>Jolene</v>
          </cell>
          <cell r="H574">
            <v>350.9</v>
          </cell>
        </row>
        <row r="575">
          <cell r="A575" t="str">
            <v>Katara</v>
          </cell>
          <cell r="H575">
            <v>273.89999999999998</v>
          </cell>
        </row>
        <row r="576">
          <cell r="A576" t="str">
            <v>Kelsi</v>
          </cell>
          <cell r="H576">
            <v>82.95</v>
          </cell>
        </row>
        <row r="577">
          <cell r="A577" t="str">
            <v>Kioto</v>
          </cell>
          <cell r="H577">
            <v>295.89999999999998</v>
          </cell>
        </row>
        <row r="578">
          <cell r="A578" t="str">
            <v>Lara</v>
          </cell>
          <cell r="H578">
            <v>372.9</v>
          </cell>
        </row>
        <row r="579">
          <cell r="A579" t="str">
            <v>Laser</v>
          </cell>
          <cell r="H579">
            <v>328.9</v>
          </cell>
        </row>
        <row r="580">
          <cell r="A580" t="str">
            <v>Leeza</v>
          </cell>
          <cell r="H580">
            <v>328.9</v>
          </cell>
        </row>
        <row r="581">
          <cell r="A581" t="str">
            <v>Leland</v>
          </cell>
          <cell r="H581">
            <v>186.45</v>
          </cell>
        </row>
        <row r="582">
          <cell r="A582" t="str">
            <v>Levin</v>
          </cell>
          <cell r="H582">
            <v>207.9</v>
          </cell>
        </row>
        <row r="583">
          <cell r="A583" t="str">
            <v>Lille</v>
          </cell>
          <cell r="H583">
            <v>99</v>
          </cell>
        </row>
        <row r="584">
          <cell r="A584" t="str">
            <v>Lirion</v>
          </cell>
          <cell r="H584">
            <v>125.48</v>
          </cell>
        </row>
        <row r="585">
          <cell r="A585" t="str">
            <v>Lisboa</v>
          </cell>
          <cell r="H585">
            <v>79.7</v>
          </cell>
        </row>
        <row r="586">
          <cell r="A586" t="str">
            <v>Loopy</v>
          </cell>
          <cell r="H586">
            <v>163.9</v>
          </cell>
        </row>
        <row r="587">
          <cell r="A587" t="str">
            <v>Luks N</v>
          </cell>
          <cell r="H587">
            <v>97</v>
          </cell>
        </row>
        <row r="588">
          <cell r="A588" t="str">
            <v>Lyon</v>
          </cell>
          <cell r="H588">
            <v>87.73</v>
          </cell>
        </row>
        <row r="589">
          <cell r="A589" t="str">
            <v>Madison</v>
          </cell>
          <cell r="H589">
            <v>99.23</v>
          </cell>
        </row>
        <row r="590">
          <cell r="A590" t="str">
            <v>Malta</v>
          </cell>
          <cell r="H590">
            <v>142.57</v>
          </cell>
        </row>
        <row r="591">
          <cell r="A591" t="str">
            <v>Manhattan</v>
          </cell>
          <cell r="H591">
            <v>72.45</v>
          </cell>
        </row>
        <row r="592">
          <cell r="A592" t="str">
            <v>Marley</v>
          </cell>
          <cell r="H592">
            <v>192.5</v>
          </cell>
        </row>
        <row r="593">
          <cell r="A593" t="str">
            <v>Maryland</v>
          </cell>
          <cell r="H593">
            <v>218.9</v>
          </cell>
        </row>
        <row r="594">
          <cell r="A594" t="str">
            <v>Massimo</v>
          </cell>
          <cell r="H594">
            <v>273.89999999999998</v>
          </cell>
        </row>
        <row r="595">
          <cell r="A595" t="str">
            <v>Merit</v>
          </cell>
          <cell r="H595">
            <v>164.45</v>
          </cell>
        </row>
        <row r="596">
          <cell r="A596" t="str">
            <v>Mica</v>
          </cell>
          <cell r="H596">
            <v>290.95</v>
          </cell>
        </row>
        <row r="597">
          <cell r="A597" t="str">
            <v>Mireille</v>
          </cell>
          <cell r="H597">
            <v>438.9</v>
          </cell>
        </row>
        <row r="598">
          <cell r="A598" t="str">
            <v>Mix</v>
          </cell>
          <cell r="H598">
            <v>361.9</v>
          </cell>
        </row>
        <row r="599">
          <cell r="A599" t="str">
            <v>Mojo</v>
          </cell>
          <cell r="H599">
            <v>428.45</v>
          </cell>
        </row>
        <row r="600">
          <cell r="A600" t="str">
            <v>Monaco</v>
          </cell>
          <cell r="H600">
            <v>240.9</v>
          </cell>
        </row>
        <row r="601">
          <cell r="A601" t="str">
            <v>Montebello</v>
          </cell>
          <cell r="H601">
            <v>329.45</v>
          </cell>
        </row>
        <row r="602">
          <cell r="A602" t="str">
            <v>Montreal</v>
          </cell>
          <cell r="H602">
            <v>79.75</v>
          </cell>
        </row>
        <row r="603">
          <cell r="A603" t="str">
            <v>Moxie</v>
          </cell>
          <cell r="H603">
            <v>119</v>
          </cell>
        </row>
        <row r="604">
          <cell r="A604" t="str">
            <v>Musa</v>
          </cell>
          <cell r="H604">
            <v>156.97999999999999</v>
          </cell>
        </row>
        <row r="605">
          <cell r="A605" t="str">
            <v>Nashville</v>
          </cell>
          <cell r="H605">
            <v>120.45</v>
          </cell>
        </row>
        <row r="606">
          <cell r="A606" t="str">
            <v>Nile</v>
          </cell>
          <cell r="H606">
            <v>97.9</v>
          </cell>
        </row>
        <row r="607">
          <cell r="A607" t="str">
            <v>Niza</v>
          </cell>
          <cell r="H607">
            <v>97.9</v>
          </cell>
        </row>
        <row r="608">
          <cell r="A608" t="str">
            <v>Noelani</v>
          </cell>
          <cell r="H608">
            <v>307.45</v>
          </cell>
        </row>
        <row r="609">
          <cell r="A609" t="str">
            <v>Octavia</v>
          </cell>
          <cell r="H609">
            <v>383.9</v>
          </cell>
        </row>
        <row r="610">
          <cell r="A610" t="str">
            <v>Ontario</v>
          </cell>
          <cell r="H610">
            <v>112.2</v>
          </cell>
        </row>
        <row r="611">
          <cell r="A611" t="str">
            <v>Orleans</v>
          </cell>
          <cell r="H611">
            <v>66.69</v>
          </cell>
        </row>
        <row r="612">
          <cell r="A612" t="str">
            <v>Ottawa</v>
          </cell>
          <cell r="H612">
            <v>83.48</v>
          </cell>
        </row>
        <row r="613">
          <cell r="A613" t="str">
            <v>Paxi</v>
          </cell>
          <cell r="H613">
            <v>241.45</v>
          </cell>
        </row>
        <row r="614">
          <cell r="A614" t="str">
            <v>Peace</v>
          </cell>
          <cell r="H614">
            <v>318.45</v>
          </cell>
        </row>
        <row r="615">
          <cell r="A615" t="str">
            <v>Pisces</v>
          </cell>
          <cell r="H615">
            <v>153.44999999999999</v>
          </cell>
        </row>
        <row r="616">
          <cell r="A616" t="str">
            <v>Polaris</v>
          </cell>
          <cell r="H616">
            <v>98.7</v>
          </cell>
        </row>
        <row r="617">
          <cell r="A617" t="str">
            <v>Promisse</v>
          </cell>
          <cell r="H617">
            <v>213.4</v>
          </cell>
        </row>
        <row r="618">
          <cell r="A618" t="str">
            <v>Quantum N</v>
          </cell>
          <cell r="H618">
            <v>52.2</v>
          </cell>
        </row>
        <row r="619">
          <cell r="A619" t="str">
            <v>Quebec N</v>
          </cell>
          <cell r="H619">
            <v>99.87</v>
          </cell>
        </row>
        <row r="620">
          <cell r="A620" t="str">
            <v>Radical</v>
          </cell>
          <cell r="H620">
            <v>118</v>
          </cell>
        </row>
        <row r="621">
          <cell r="A621" t="str">
            <v>Rez</v>
          </cell>
          <cell r="H621">
            <v>366.45</v>
          </cell>
        </row>
        <row r="622">
          <cell r="A622" t="str">
            <v>Rivoli</v>
          </cell>
          <cell r="H622">
            <v>72.45</v>
          </cell>
        </row>
        <row r="623">
          <cell r="A623" t="str">
            <v>Rocco</v>
          </cell>
          <cell r="H623">
            <v>89</v>
          </cell>
        </row>
        <row r="624">
          <cell r="A624" t="str">
            <v>Rochelle</v>
          </cell>
          <cell r="H624">
            <v>54.91</v>
          </cell>
        </row>
        <row r="625">
          <cell r="A625" t="str">
            <v>Rockwell</v>
          </cell>
          <cell r="H625">
            <v>366.45</v>
          </cell>
        </row>
        <row r="626">
          <cell r="A626" t="str">
            <v>Rudy</v>
          </cell>
          <cell r="H626">
            <v>72.45</v>
          </cell>
        </row>
        <row r="627">
          <cell r="A627" t="str">
            <v>Russell</v>
          </cell>
          <cell r="H627">
            <v>98.7</v>
          </cell>
        </row>
        <row r="628">
          <cell r="A628" t="str">
            <v>Santi</v>
          </cell>
          <cell r="H628">
            <v>163.9</v>
          </cell>
        </row>
        <row r="629">
          <cell r="A629" t="str">
            <v>Snuggy</v>
          </cell>
          <cell r="H629">
            <v>141.9</v>
          </cell>
        </row>
        <row r="630">
          <cell r="A630" t="str">
            <v>Socrates</v>
          </cell>
          <cell r="H630">
            <v>125.48</v>
          </cell>
        </row>
        <row r="631">
          <cell r="A631" t="str">
            <v>Spunky</v>
          </cell>
          <cell r="H631">
            <v>361.9</v>
          </cell>
        </row>
        <row r="632">
          <cell r="A632" t="str">
            <v>Starlink</v>
          </cell>
          <cell r="H632">
            <v>383.9</v>
          </cell>
        </row>
        <row r="633">
          <cell r="A633" t="str">
            <v>Starstruck</v>
          </cell>
          <cell r="H633">
            <v>164.45</v>
          </cell>
        </row>
        <row r="634">
          <cell r="A634" t="str">
            <v>Stella</v>
          </cell>
          <cell r="H634">
            <v>129.5</v>
          </cell>
        </row>
        <row r="635">
          <cell r="A635" t="str">
            <v>Suecia</v>
          </cell>
          <cell r="H635">
            <v>74.900000000000006</v>
          </cell>
        </row>
        <row r="636">
          <cell r="A636" t="str">
            <v>Tanner</v>
          </cell>
          <cell r="H636">
            <v>82.95</v>
          </cell>
        </row>
        <row r="637">
          <cell r="A637" t="str">
            <v>Tassles</v>
          </cell>
          <cell r="H637">
            <v>295.89999999999998</v>
          </cell>
        </row>
        <row r="638">
          <cell r="A638" t="str">
            <v>Toulouse</v>
          </cell>
          <cell r="H638">
            <v>97.93</v>
          </cell>
        </row>
        <row r="639">
          <cell r="A639" t="str">
            <v>Trend</v>
          </cell>
          <cell r="H639">
            <v>91.06</v>
          </cell>
        </row>
        <row r="640">
          <cell r="A640" t="str">
            <v>Trendy</v>
          </cell>
          <cell r="H640">
            <v>68.569999999999993</v>
          </cell>
        </row>
        <row r="641">
          <cell r="A641" t="str">
            <v>Treviso</v>
          </cell>
          <cell r="H641">
            <v>99.5</v>
          </cell>
        </row>
        <row r="642">
          <cell r="A642" t="str">
            <v>Ursula</v>
          </cell>
          <cell r="H642">
            <v>334.5</v>
          </cell>
        </row>
        <row r="643">
          <cell r="A643" t="str">
            <v>Utopia</v>
          </cell>
          <cell r="H643">
            <v>334.5</v>
          </cell>
        </row>
        <row r="644">
          <cell r="A644" t="str">
            <v>Valley</v>
          </cell>
          <cell r="H644">
            <v>119.87</v>
          </cell>
        </row>
        <row r="645">
          <cell r="A645" t="str">
            <v>Vance</v>
          </cell>
          <cell r="H645">
            <v>103.95</v>
          </cell>
        </row>
        <row r="646">
          <cell r="A646" t="str">
            <v>Vancouver</v>
          </cell>
          <cell r="H646">
            <v>107.65</v>
          </cell>
        </row>
        <row r="647">
          <cell r="A647" t="str">
            <v>Verity</v>
          </cell>
          <cell r="H647">
            <v>383.9</v>
          </cell>
        </row>
        <row r="648">
          <cell r="A648" t="str">
            <v>Vocal</v>
          </cell>
          <cell r="H648">
            <v>273.89999999999998</v>
          </cell>
        </row>
        <row r="649">
          <cell r="A649" t="str">
            <v>Wally</v>
          </cell>
          <cell r="H649">
            <v>262.89999999999998</v>
          </cell>
        </row>
        <row r="650">
          <cell r="A650" t="str">
            <v>Wasabi</v>
          </cell>
          <cell r="H650">
            <v>166.95</v>
          </cell>
        </row>
        <row r="651">
          <cell r="A651" t="str">
            <v>Weldon</v>
          </cell>
          <cell r="H651">
            <v>372.9</v>
          </cell>
        </row>
        <row r="652">
          <cell r="A652" t="str">
            <v>Zabelle</v>
          </cell>
          <cell r="H652">
            <v>438.9</v>
          </cell>
        </row>
        <row r="653">
          <cell r="A653" t="str">
            <v>Zulu</v>
          </cell>
          <cell r="H653">
            <v>427</v>
          </cell>
        </row>
      </sheetData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376BBF2-DAFF-413B-BFDD-0FD87C2760EA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71e4b10-8006-4514-8f40-92b81287b44a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409AE-56C2-474D-AE4F-5AB8AA501CC9}">
  <sheetPr codeName="Hoja44"/>
  <dimension ref="A1:K228"/>
  <sheetViews>
    <sheetView tabSelected="1" zoomScale="85" zoomScaleNormal="85" workbookViewId="0">
      <pane ySplit="2" topLeftCell="A3" activePane="bottomLeft" state="frozen"/>
      <selection pane="bottomLeft" activeCell="F13" sqref="F13"/>
    </sheetView>
  </sheetViews>
  <sheetFormatPr baseColWidth="10" defaultRowHeight="15" x14ac:dyDescent="0.25"/>
  <cols>
    <col min="1" max="1" width="35.140625" customWidth="1"/>
    <col min="2" max="2" width="20.85546875" style="2" customWidth="1"/>
    <col min="3" max="3" width="20.85546875" hidden="1" customWidth="1"/>
    <col min="4" max="4" width="20.85546875" customWidth="1"/>
    <col min="5" max="5" width="17.7109375" style="34" customWidth="1"/>
    <col min="6" max="6" width="17.7109375" customWidth="1"/>
    <col min="7" max="7" width="20.140625" customWidth="1"/>
    <col min="8" max="9" width="20.85546875" style="1" customWidth="1"/>
    <col min="10" max="10" width="45.28515625" customWidth="1"/>
    <col min="11" max="11" width="22.7109375" style="1" customWidth="1"/>
  </cols>
  <sheetData>
    <row r="1" spans="1:9" x14ac:dyDescent="0.25">
      <c r="F1" s="33" t="s">
        <v>177</v>
      </c>
    </row>
    <row r="2" spans="1:9" ht="27" x14ac:dyDescent="0.25">
      <c r="A2" s="31" t="s">
        <v>176</v>
      </c>
      <c r="B2" s="32" t="s">
        <v>175</v>
      </c>
      <c r="C2" s="31" t="s">
        <v>174</v>
      </c>
      <c r="D2" s="30" t="s">
        <v>173</v>
      </c>
      <c r="E2" s="35" t="s">
        <v>172</v>
      </c>
      <c r="F2" s="30" t="s">
        <v>171</v>
      </c>
      <c r="G2" s="29" t="s">
        <v>170</v>
      </c>
      <c r="H2" s="28" t="s">
        <v>169</v>
      </c>
      <c r="I2" s="28" t="s">
        <v>168</v>
      </c>
    </row>
    <row r="3" spans="1:9" x14ac:dyDescent="0.25">
      <c r="A3" s="9" t="s">
        <v>167</v>
      </c>
      <c r="B3" s="9" t="s">
        <v>85</v>
      </c>
      <c r="C3" s="8">
        <v>87.097499999999997</v>
      </c>
      <c r="D3" s="7">
        <v>79</v>
      </c>
      <c r="E3" s="11">
        <f t="shared" ref="E3:E34" si="0">IFERROR((F3-D3)/D3,"")</f>
        <v>5.0000000000000037E-2</v>
      </c>
      <c r="F3" s="10">
        <v>82.95</v>
      </c>
      <c r="G3" s="4">
        <f>IFERROR(_xlfn.XLOOKUP(B3,'[1]Toda FM'!$A:$A,'[1]Toda FM'!$Q:$Q,""),"")</f>
        <v>0.05</v>
      </c>
      <c r="H3" s="3" t="str" cm="1">
        <f t="array" ref="H3">IFERROR(_xlfn.LET(_xlpm.rw,MATCH(B3,'[1]Toda FM'!$A:$A,0),_xlpm.vals,INDEX('[1]Toda FM'!$H:$M,_xlpm.rw,0),_xlpm.diffs,ABS(_xlpm.vals-F3),_xlpm.mn,MIN(_xlpm.diffs),_xlpm.pos,MATCH(_xlpm.mn,_xlpm.diffs,0),IF(_xlpm.mn/F3&lt;=0.02,TRIM(INDEX('[1]Toda FM'!$H$2:$M$2,1,_xlpm.pos)),"")),"")</f>
        <v>F5</v>
      </c>
      <c r="I3" s="27">
        <f>IFERROR(_xlfn.XLOOKUP(B3,'[1]Toda FM'!$A:$A,'[1]Toda FM'!$R:$R,""),"")</f>
        <v>0</v>
      </c>
    </row>
    <row r="4" spans="1:9" x14ac:dyDescent="0.25">
      <c r="A4" s="9" t="s">
        <v>167</v>
      </c>
      <c r="B4" s="9" t="s">
        <v>82</v>
      </c>
      <c r="C4" s="8">
        <v>74</v>
      </c>
      <c r="D4" s="7">
        <v>74</v>
      </c>
      <c r="E4" s="11">
        <f t="shared" si="0"/>
        <v>0</v>
      </c>
      <c r="F4" s="10">
        <v>74</v>
      </c>
      <c r="G4" s="4">
        <f>IFERROR(_xlfn.XLOOKUP(B4,'[1]Toda FM'!$A:$A,'[1]Toda FM'!$Q:$Q,""),"")</f>
        <v>0</v>
      </c>
      <c r="H4" s="3" t="str" cm="1">
        <f t="array" ref="H4">IFERROR(_xlfn.LET(_xlpm.rw,MATCH(B4,'[1]Toda FM'!$A:$A,0),_xlpm.vals,INDEX('[1]Toda FM'!$H:$M,_xlpm.rw,0),_xlpm.diffs,ABS(_xlpm.vals-F4),_xlpm.mn,MIN(_xlpm.diffs),_xlpm.pos,MATCH(_xlpm.mn,_xlpm.diffs,0),IF(_xlpm.mn/F4&lt;=0.02,TRIM(INDEX('[1]Toda FM'!$H$2:$M$2,1,_xlpm.pos)),"")),"")</f>
        <v>F5</v>
      </c>
      <c r="I4" s="27">
        <f>IFERROR(_xlfn.XLOOKUP(B4,'[1]Toda FM'!$A:$A,'[1]Toda FM'!$R:$R,""),"")</f>
        <v>0</v>
      </c>
    </row>
    <row r="5" spans="1:9" x14ac:dyDescent="0.25">
      <c r="A5" s="9" t="s">
        <v>167</v>
      </c>
      <c r="B5" s="9" t="s">
        <v>2</v>
      </c>
      <c r="C5" s="8">
        <v>82.136250000000004</v>
      </c>
      <c r="D5" s="7">
        <v>72.242999999999995</v>
      </c>
      <c r="E5" s="11">
        <f t="shared" si="0"/>
        <v>8.2734659413368827E-2</v>
      </c>
      <c r="F5" s="10">
        <v>78.22</v>
      </c>
      <c r="G5" s="4">
        <f>IFERROR(_xlfn.XLOOKUP(B5,'[1]Toda FM'!$A:$A,'[1]Toda FM'!$Q:$Q,""),"")</f>
        <v>0.05</v>
      </c>
      <c r="H5" s="3" t="str" cm="1">
        <f t="array" ref="H5">IFERROR(_xlfn.LET(_xlpm.rw,MATCH(B5,'[1]Toda FM'!$A:$A,0),_xlpm.vals,INDEX('[1]Toda FM'!$H:$M,_xlpm.rw,0),_xlpm.diffs,ABS(_xlpm.vals-F5),_xlpm.mn,MIN(_xlpm.diffs),_xlpm.pos,MATCH(_xlpm.mn,_xlpm.diffs,0),IF(_xlpm.mn/F5&lt;=0.02,TRIM(INDEX('[1]Toda FM'!$H$2:$M$2,1,_xlpm.pos)),"")),"")</f>
        <v>F5</v>
      </c>
      <c r="I5" s="27">
        <f>IFERROR(_xlfn.XLOOKUP(B5,'[1]Toda FM'!$A:$A,'[1]Toda FM'!$R:$R,""),"")</f>
        <v>0</v>
      </c>
    </row>
    <row r="6" spans="1:9" x14ac:dyDescent="0.25">
      <c r="A6" s="9" t="s">
        <v>164</v>
      </c>
      <c r="B6" s="9" t="s">
        <v>18</v>
      </c>
      <c r="C6" s="8">
        <v>65.598749999999995</v>
      </c>
      <c r="D6" s="7">
        <v>50.58</v>
      </c>
      <c r="E6" s="38">
        <f t="shared" si="0"/>
        <v>4.9822064056939563E-2</v>
      </c>
      <c r="F6" s="39">
        <v>53.1</v>
      </c>
      <c r="G6" s="4">
        <f>IFERROR(_xlfn.XLOOKUP(B6,'[1]Toda FM'!$A:$A,'[1]Toda FM'!$Q:$Q,""),"")</f>
        <v>0.05</v>
      </c>
      <c r="H6" s="3" t="str" cm="1">
        <f t="array" ref="H6">IFERROR(_xlfn.LET(_xlpm.rw,MATCH(B6,'[1]Toda FM'!$A:$A,0),_xlpm.vals,INDEX('[1]Toda FM'!$H:$M,_xlpm.rw,0),_xlpm.diffs,ABS(_xlpm.vals-F6),_xlpm.mn,MIN(_xlpm.diffs),_xlpm.pos,MATCH(_xlpm.mn,_xlpm.diffs,0),IF(_xlpm.mn/F6&lt;=0.02,TRIM(INDEX('[1]Toda FM'!$H$2:$M$2,1,_xlpm.pos)),"")),"")</f>
        <v>F10</v>
      </c>
      <c r="I6" s="3">
        <f>IFERROR(_xlfn.XLOOKUP(B6,'[1]Toda FM'!$A:$A,'[1]Toda FM'!$R:$R,""),"")</f>
        <v>0</v>
      </c>
    </row>
    <row r="7" spans="1:9" x14ac:dyDescent="0.25">
      <c r="A7" s="9" t="s">
        <v>164</v>
      </c>
      <c r="B7" s="9" t="s">
        <v>117</v>
      </c>
      <c r="C7" s="8">
        <v>95.77</v>
      </c>
      <c r="D7" s="7">
        <v>76.08</v>
      </c>
      <c r="E7" s="11">
        <f t="shared" si="0"/>
        <v>6.9926393270241943E-2</v>
      </c>
      <c r="F7" s="10">
        <v>81.400000000000006</v>
      </c>
      <c r="G7" s="4">
        <f>IFERROR(_xlfn.XLOOKUP(B7,'[1]Toda FM'!$A:$A,'[1]Toda FM'!$Q:$Q,""),"")</f>
        <v>0</v>
      </c>
      <c r="H7" s="3" t="str" cm="1">
        <f t="array" ref="H7">IFERROR(_xlfn.LET(_xlpm.rw,MATCH(B7,'[1]Toda FM'!$A:$A,0),_xlpm.vals,INDEX('[1]Toda FM'!$H:$M,_xlpm.rw,0),_xlpm.diffs,ABS(_xlpm.vals-F7),_xlpm.mn,MIN(_xlpm.diffs),_xlpm.pos,MATCH(_xlpm.mn,_xlpm.diffs,0),IF(_xlpm.mn/F7&lt;=0.02,TRIM(INDEX('[1]Toda FM'!$H$2:$M$2,1,_xlpm.pos)),"")),"")</f>
        <v>F10</v>
      </c>
      <c r="I7" s="3" t="str">
        <f>IFERROR(_xlfn.XLOOKUP(B7,'[1]Toda FM'!$A:$A,'[1]Toda FM'!$R:$R,""),"")</f>
        <v>WATER 
REPELLENT</v>
      </c>
    </row>
    <row r="8" spans="1:9" x14ac:dyDescent="0.25">
      <c r="A8" s="9" t="s">
        <v>164</v>
      </c>
      <c r="B8" s="9" t="s">
        <v>122</v>
      </c>
      <c r="C8" s="8">
        <v>85.05</v>
      </c>
      <c r="D8" s="7">
        <v>72.290000000000006</v>
      </c>
      <c r="E8" s="11">
        <f t="shared" si="0"/>
        <v>5.8929312491354136E-2</v>
      </c>
      <c r="F8" s="10">
        <v>76.55</v>
      </c>
      <c r="G8" s="4">
        <f>IFERROR(_xlfn.XLOOKUP(B8,'[1]Toda FM'!$A:$A,'[1]Toda FM'!$Q:$Q,""),"")</f>
        <v>0</v>
      </c>
      <c r="H8" s="3" t="str" cm="1">
        <f t="array" ref="H8">IFERROR(_xlfn.LET(_xlpm.rw,MATCH(B8,'[1]Toda FM'!$A:$A,0),_xlpm.vals,INDEX('[1]Toda FM'!$H:$M,_xlpm.rw,0),_xlpm.diffs,ABS(_xlpm.vals-F8),_xlpm.mn,MIN(_xlpm.diffs),_xlpm.pos,MATCH(_xlpm.mn,_xlpm.diffs,0),IF(_xlpm.mn/F8&lt;=0.02,TRIM(INDEX('[1]Toda FM'!$H$2:$M$2,1,_xlpm.pos)),"")),"")</f>
        <v>F8</v>
      </c>
      <c r="I8" s="3" t="str">
        <f>IFERROR(_xlfn.XLOOKUP(B8,'[1]Toda FM'!$A:$A,'[1]Toda FM'!$R:$R,""),"")</f>
        <v>WATER 
REPELLENT</v>
      </c>
    </row>
    <row r="9" spans="1:9" x14ac:dyDescent="0.25">
      <c r="A9" s="9" t="s">
        <v>164</v>
      </c>
      <c r="B9" s="9" t="s">
        <v>85</v>
      </c>
      <c r="C9" s="8">
        <v>87.097499999999997</v>
      </c>
      <c r="D9" s="7">
        <v>67.150000000000006</v>
      </c>
      <c r="E9" s="11">
        <f t="shared" si="0"/>
        <v>4.9999999999999808E-2</v>
      </c>
      <c r="F9" s="10">
        <v>70.507499999999993</v>
      </c>
      <c r="G9" s="4">
        <f>IFERROR(_xlfn.XLOOKUP(B9,'[1]Toda FM'!$A:$A,'[1]Toda FM'!$Q:$Q,""),"")</f>
        <v>0.05</v>
      </c>
      <c r="H9" s="3" t="str" cm="1">
        <f t="array" ref="H9">IFERROR(_xlfn.LET(_xlpm.rw,MATCH(B9,'[1]Toda FM'!$A:$A,0),_xlpm.vals,INDEX('[1]Toda FM'!$H:$M,_xlpm.rw,0),_xlpm.diffs,ABS(_xlpm.vals-F9),_xlpm.mn,MIN(_xlpm.diffs),_xlpm.pos,MATCH(_xlpm.mn,_xlpm.diffs,0),IF(_xlpm.mn/F9&lt;=0.02,TRIM(INDEX('[1]Toda FM'!$H$2:$M$2,1,_xlpm.pos)),"")),"")</f>
        <v>F10</v>
      </c>
      <c r="I9" s="3">
        <f>IFERROR(_xlfn.XLOOKUP(B9,'[1]Toda FM'!$A:$A,'[1]Toda FM'!$R:$R,""),"")</f>
        <v>0</v>
      </c>
    </row>
    <row r="10" spans="1:9" x14ac:dyDescent="0.25">
      <c r="A10" s="9" t="s">
        <v>164</v>
      </c>
      <c r="B10" s="9" t="s">
        <v>93</v>
      </c>
      <c r="C10" s="8">
        <v>74.37</v>
      </c>
      <c r="D10" s="7">
        <v>59.08</v>
      </c>
      <c r="E10" s="11">
        <f t="shared" si="0"/>
        <v>6.9905213270142222E-2</v>
      </c>
      <c r="F10" s="10">
        <v>63.21</v>
      </c>
      <c r="G10" s="4">
        <f>IFERROR(_xlfn.XLOOKUP(B10,'[1]Toda FM'!$A:$A,'[1]Toda FM'!$Q:$Q,""),"")</f>
        <v>0</v>
      </c>
      <c r="H10" s="3" t="str" cm="1">
        <f t="array" ref="H10">IFERROR(_xlfn.LET(_xlpm.rw,MATCH(B10,'[1]Toda FM'!$A:$A,0),_xlpm.vals,INDEX('[1]Toda FM'!$H:$M,_xlpm.rw,0),_xlpm.diffs,ABS(_xlpm.vals-F10),_xlpm.mn,MIN(_xlpm.diffs),_xlpm.pos,MATCH(_xlpm.mn,_xlpm.diffs,0),IF(_xlpm.mn/F10&lt;=0.02,TRIM(INDEX('[1]Toda FM'!$H$2:$M$2,1,_xlpm.pos)),"")),"")</f>
        <v>F10</v>
      </c>
      <c r="I10" s="3" t="str">
        <f>IFERROR(_xlfn.XLOOKUP(B10,'[1]Toda FM'!$A:$A,'[1]Toda FM'!$R:$R,""),"")</f>
        <v>WATER 
REPELLENT</v>
      </c>
    </row>
    <row r="11" spans="1:9" x14ac:dyDescent="0.25">
      <c r="A11" s="9" t="s">
        <v>164</v>
      </c>
      <c r="B11" s="9" t="s">
        <v>113</v>
      </c>
      <c r="C11" s="8">
        <v>97.9</v>
      </c>
      <c r="D11" s="7">
        <v>84.55</v>
      </c>
      <c r="E11" s="11">
        <f t="shared" si="0"/>
        <v>0.10005913660555894</v>
      </c>
      <c r="F11" s="10">
        <v>93.01</v>
      </c>
      <c r="G11" s="4">
        <f>IFERROR(_xlfn.XLOOKUP(B11,'[1]Toda FM'!$A:$A,'[1]Toda FM'!$Q:$Q,""),"")</f>
        <v>0.1</v>
      </c>
      <c r="H11" s="3" t="str" cm="1">
        <f t="array" ref="H11">IFERROR(_xlfn.LET(_xlpm.rw,MATCH(B11,'[1]Toda FM'!$A:$A,0),_xlpm.vals,INDEX('[1]Toda FM'!$H:$M,_xlpm.rw,0),_xlpm.diffs,ABS(_xlpm.vals-F11),_xlpm.mn,MIN(_xlpm.diffs),_xlpm.pos,MATCH(_xlpm.mn,_xlpm.diffs,0),IF(_xlpm.mn/F11&lt;=0.02,TRIM(INDEX('[1]Toda FM'!$H$2:$M$2,1,_xlpm.pos)),"")),"")</f>
        <v>F6</v>
      </c>
      <c r="I11" s="3">
        <f>IFERROR(_xlfn.XLOOKUP(B11,'[1]Toda FM'!$A:$A,'[1]Toda FM'!$R:$R,""),"")</f>
        <v>0</v>
      </c>
    </row>
    <row r="12" spans="1:9" x14ac:dyDescent="0.25">
      <c r="A12" s="9" t="s">
        <v>164</v>
      </c>
      <c r="B12" s="9" t="s">
        <v>51</v>
      </c>
      <c r="C12" s="8">
        <v>101.12</v>
      </c>
      <c r="D12" s="7">
        <v>80.33</v>
      </c>
      <c r="E12" s="11">
        <f t="shared" si="0"/>
        <v>6.9961409187103252E-2</v>
      </c>
      <c r="F12" s="10">
        <v>85.95</v>
      </c>
      <c r="G12" s="4">
        <f>IFERROR(_xlfn.XLOOKUP(B12,'[1]Toda FM'!$A:$A,'[1]Toda FM'!$Q:$Q,""),"")</f>
        <v>0</v>
      </c>
      <c r="H12" s="3" t="str" cm="1">
        <f t="array" ref="H12">IFERROR(_xlfn.LET(_xlpm.rw,MATCH(B12,'[1]Toda FM'!$A:$A,0),_xlpm.vals,INDEX('[1]Toda FM'!$H:$M,_xlpm.rw,0),_xlpm.diffs,ABS(_xlpm.vals-F12),_xlpm.mn,MIN(_xlpm.diffs),_xlpm.pos,MATCH(_xlpm.mn,_xlpm.diffs,0),IF(_xlpm.mn/F12&lt;=0.02,TRIM(INDEX('[1]Toda FM'!$H$2:$M$2,1,_xlpm.pos)),"")),"")</f>
        <v>F10</v>
      </c>
      <c r="I12" s="3" t="str">
        <f>IFERROR(_xlfn.XLOOKUP(B12,'[1]Toda FM'!$A:$A,'[1]Toda FM'!$R:$R,""),"")</f>
        <v>WATER 
REPELLENT</v>
      </c>
    </row>
    <row r="13" spans="1:9" x14ac:dyDescent="0.25">
      <c r="A13" s="9" t="s">
        <v>164</v>
      </c>
      <c r="B13" s="9" t="s">
        <v>20</v>
      </c>
      <c r="C13" s="8">
        <v>76.623750000000001</v>
      </c>
      <c r="D13" s="7">
        <v>59.08</v>
      </c>
      <c r="E13" s="11">
        <f t="shared" si="0"/>
        <v>4.9932295192958748E-2</v>
      </c>
      <c r="F13" s="10">
        <v>62.03</v>
      </c>
      <c r="G13" s="4">
        <f>IFERROR(_xlfn.XLOOKUP(B13,'[1]Toda FM'!$A:$A,'[1]Toda FM'!$Q:$Q,""),"")</f>
        <v>0.05</v>
      </c>
      <c r="H13" s="3" t="str" cm="1">
        <f t="array" ref="H13">IFERROR(_xlfn.LET(_xlpm.rw,MATCH(B13,'[1]Toda FM'!$A:$A,0),_xlpm.vals,INDEX('[1]Toda FM'!$H:$M,_xlpm.rw,0),_xlpm.diffs,ABS(_xlpm.vals-F13),_xlpm.mn,MIN(_xlpm.diffs),_xlpm.pos,MATCH(_xlpm.mn,_xlpm.diffs,0),IF(_xlpm.mn/F13&lt;=0.02,TRIM(INDEX('[1]Toda FM'!$H$2:$M$2,1,_xlpm.pos)),"")),"")</f>
        <v>F10</v>
      </c>
      <c r="I13" s="3">
        <f>IFERROR(_xlfn.XLOOKUP(B13,'[1]Toda FM'!$A:$A,'[1]Toda FM'!$R:$R,""),"")</f>
        <v>0</v>
      </c>
    </row>
    <row r="14" spans="1:9" x14ac:dyDescent="0.25">
      <c r="A14" s="9" t="s">
        <v>164</v>
      </c>
      <c r="B14" s="9" t="s">
        <v>112</v>
      </c>
      <c r="C14" s="8">
        <v>114.345</v>
      </c>
      <c r="D14" s="7">
        <v>80.33</v>
      </c>
      <c r="E14" s="11">
        <f t="shared" si="0"/>
        <v>0.10000000000000002</v>
      </c>
      <c r="F14" s="10">
        <v>88.363</v>
      </c>
      <c r="G14" s="4">
        <f>IFERROR(_xlfn.XLOOKUP(B14,'[1]Toda FM'!$A:$A,'[1]Toda FM'!$Q:$Q,""),"")</f>
        <v>0.1</v>
      </c>
      <c r="H14" s="3" t="str" cm="1">
        <f t="array" ref="H14">IFERROR(_xlfn.LET(_xlpm.rw,MATCH(B14,'[1]Toda FM'!$A:$A,0),_xlpm.vals,INDEX('[1]Toda FM'!$H:$M,_xlpm.rw,0),_xlpm.diffs,ABS(_xlpm.vals-F14),_xlpm.mn,MIN(_xlpm.diffs),_xlpm.pos,MATCH(_xlpm.mn,_xlpm.diffs,0),IF(_xlpm.mn/F14&lt;=0.02,TRIM(INDEX('[1]Toda FM'!$H$2:$M$2,1,_xlpm.pos)),"")),"")</f>
        <v>F10</v>
      </c>
      <c r="I14" s="3" t="str">
        <f>IFERROR(_xlfn.XLOOKUP(B14,'[1]Toda FM'!$A:$A,'[1]Toda FM'!$R:$R,""),"")</f>
        <v>WATER 
REPELLENT</v>
      </c>
    </row>
    <row r="15" spans="1:9" x14ac:dyDescent="0.25">
      <c r="A15" s="9" t="s">
        <v>164</v>
      </c>
      <c r="B15" s="9" t="s">
        <v>67</v>
      </c>
      <c r="C15" s="8">
        <v>101.64</v>
      </c>
      <c r="D15" s="7">
        <v>71.400000000000006</v>
      </c>
      <c r="E15" s="11">
        <f t="shared" si="0"/>
        <v>0.1</v>
      </c>
      <c r="F15" s="10">
        <v>78.540000000000006</v>
      </c>
      <c r="G15" s="4">
        <f>IFERROR(_xlfn.XLOOKUP(B15,'[1]Toda FM'!$A:$A,'[1]Toda FM'!$Q:$Q,""),"")</f>
        <v>0.1</v>
      </c>
      <c r="H15" s="3" t="str" cm="1">
        <f t="array" ref="H15">IFERROR(_xlfn.LET(_xlpm.rw,MATCH(B15,'[1]Toda FM'!$A:$A,0),_xlpm.vals,INDEX('[1]Toda FM'!$H:$M,_xlpm.rw,0),_xlpm.diffs,ABS(_xlpm.vals-F15),_xlpm.mn,MIN(_xlpm.diffs),_xlpm.pos,MATCH(_xlpm.mn,_xlpm.diffs,0),IF(_xlpm.mn/F15&lt;=0.02,TRIM(INDEX('[1]Toda FM'!$H$2:$M$2,1,_xlpm.pos)),"")),"")</f>
        <v>F10</v>
      </c>
      <c r="I15" s="3">
        <f>IFERROR(_xlfn.XLOOKUP(B15,'[1]Toda FM'!$A:$A,'[1]Toda FM'!$R:$R,""),"")</f>
        <v>0</v>
      </c>
    </row>
    <row r="16" spans="1:9" x14ac:dyDescent="0.25">
      <c r="A16" s="9" t="s">
        <v>164</v>
      </c>
      <c r="B16" s="9" t="s">
        <v>91</v>
      </c>
      <c r="C16" s="8">
        <v>69</v>
      </c>
      <c r="D16" s="7">
        <v>55.2</v>
      </c>
      <c r="E16" s="11">
        <f t="shared" si="0"/>
        <v>6.2499999999999917E-2</v>
      </c>
      <c r="F16" s="10">
        <v>58.65</v>
      </c>
      <c r="G16" s="4">
        <f>IFERROR(_xlfn.XLOOKUP(B16,'[1]Toda FM'!$A:$A,'[1]Toda FM'!$Q:$Q,""),"")</f>
        <v>0</v>
      </c>
      <c r="H16" s="3" t="str" cm="1">
        <f t="array" ref="H16">IFERROR(_xlfn.LET(_xlpm.rw,MATCH(B16,'[1]Toda FM'!$A:$A,0),_xlpm.vals,INDEX('[1]Toda FM'!$H:$M,_xlpm.rw,0),_xlpm.diffs,ABS(_xlpm.vals-F16),_xlpm.mn,MIN(_xlpm.diffs),_xlpm.pos,MATCH(_xlpm.mn,_xlpm.diffs,0),IF(_xlpm.mn/F16&lt;=0.02,TRIM(INDEX('[1]Toda FM'!$H$2:$M$2,1,_xlpm.pos)),"")),"")</f>
        <v>F10</v>
      </c>
      <c r="I16" s="3">
        <f>IFERROR(_xlfn.XLOOKUP(B16,'[1]Toda FM'!$A:$A,'[1]Toda FM'!$R:$R,""),"")</f>
        <v>0</v>
      </c>
    </row>
    <row r="17" spans="1:10" x14ac:dyDescent="0.25">
      <c r="A17" s="9" t="s">
        <v>164</v>
      </c>
      <c r="B17" s="9" t="s">
        <v>3</v>
      </c>
      <c r="C17" s="8">
        <v>74.5</v>
      </c>
      <c r="D17" s="7">
        <v>63.33</v>
      </c>
      <c r="E17" s="11">
        <f t="shared" si="0"/>
        <v>5.8739933680720023E-2</v>
      </c>
      <c r="F17" s="10">
        <v>67.05</v>
      </c>
      <c r="G17" s="4">
        <f>IFERROR(_xlfn.XLOOKUP(B17,'[1]Toda FM'!$A:$A,'[1]Toda FM'!$Q:$Q,""),"")</f>
        <v>0</v>
      </c>
      <c r="H17" s="3" t="str" cm="1">
        <f t="array" ref="H17">IFERROR(_xlfn.LET(_xlpm.rw,MATCH(B17,'[1]Toda FM'!$A:$A,0),_xlpm.vals,INDEX('[1]Toda FM'!$H:$M,_xlpm.rw,0),_xlpm.diffs,ABS(_xlpm.vals-F17),_xlpm.mn,MIN(_xlpm.diffs),_xlpm.pos,MATCH(_xlpm.mn,_xlpm.diffs,0),IF(_xlpm.mn/F17&lt;=0.02,TRIM(INDEX('[1]Toda FM'!$H$2:$M$2,1,_xlpm.pos)),"")),"")</f>
        <v>F8</v>
      </c>
      <c r="I17" s="3">
        <f>IFERROR(_xlfn.XLOOKUP(B17,'[1]Toda FM'!$A:$A,'[1]Toda FM'!$R:$R,""),"")</f>
        <v>0</v>
      </c>
    </row>
    <row r="18" spans="1:10" x14ac:dyDescent="0.25">
      <c r="A18" s="9" t="s">
        <v>164</v>
      </c>
      <c r="B18" s="9" t="s">
        <v>166</v>
      </c>
      <c r="C18" s="8">
        <v>104.5</v>
      </c>
      <c r="D18" s="7">
        <v>88.83</v>
      </c>
      <c r="E18" s="11">
        <f t="shared" si="0"/>
        <v>5.8763931104356626E-2</v>
      </c>
      <c r="F18" s="10">
        <v>94.05</v>
      </c>
      <c r="G18" s="4">
        <f>IFERROR(_xlfn.XLOOKUP(B18,'[1]Toda FM'!$A:$A,'[1]Toda FM'!$Q:$Q,""),"")</f>
        <v>0</v>
      </c>
      <c r="H18" s="3" t="str" cm="1">
        <f t="array" ref="H18">IFERROR(_xlfn.LET(_xlpm.rw,MATCH(B18,'[1]Toda FM'!$A:$A,0),_xlpm.vals,INDEX('[1]Toda FM'!$H:$M,_xlpm.rw,0),_xlpm.diffs,ABS(_xlpm.vals-F18),_xlpm.mn,MIN(_xlpm.diffs),_xlpm.pos,MATCH(_xlpm.mn,_xlpm.diffs,0),IF(_xlpm.mn/F18&lt;=0.02,TRIM(INDEX('[1]Toda FM'!$H$2:$M$2,1,_xlpm.pos)),"")),"")</f>
        <v>F8</v>
      </c>
      <c r="I18" s="3" t="str">
        <f>IFERROR(_xlfn.XLOOKUP(B18,'[1]Toda FM'!$A:$A,'[1]Toda FM'!$R:$R,""),"")</f>
        <v>WATER 
REPELLENT</v>
      </c>
    </row>
    <row r="19" spans="1:10" x14ac:dyDescent="0.25">
      <c r="A19" s="9" t="s">
        <v>164</v>
      </c>
      <c r="B19" s="9" t="s">
        <v>31</v>
      </c>
      <c r="C19" s="8">
        <v>79.5</v>
      </c>
      <c r="D19" s="7">
        <v>67.58</v>
      </c>
      <c r="E19" s="11">
        <f t="shared" si="0"/>
        <v>5.8745190884877167E-2</v>
      </c>
      <c r="F19" s="10">
        <v>71.55</v>
      </c>
      <c r="G19" s="4">
        <f>IFERROR(_xlfn.XLOOKUP(B19,'[1]Toda FM'!$A:$A,'[1]Toda FM'!$Q:$Q,""),"")</f>
        <v>0</v>
      </c>
      <c r="H19" s="3" t="str" cm="1">
        <f t="array" ref="H19">IFERROR(_xlfn.LET(_xlpm.rw,MATCH(B19,'[1]Toda FM'!$A:$A,0),_xlpm.vals,INDEX('[1]Toda FM'!$H:$M,_xlpm.rw,0),_xlpm.diffs,ABS(_xlpm.vals-F19),_xlpm.mn,MIN(_xlpm.diffs),_xlpm.pos,MATCH(_xlpm.mn,_xlpm.diffs,0),IF(_xlpm.mn/F19&lt;=0.02,TRIM(INDEX('[1]Toda FM'!$H$2:$M$2,1,_xlpm.pos)),"")),"")</f>
        <v>F8</v>
      </c>
      <c r="I19" s="3">
        <f>IFERROR(_xlfn.XLOOKUP(B19,'[1]Toda FM'!$A:$A,'[1]Toda FM'!$R:$R,""),"")</f>
        <v>0</v>
      </c>
    </row>
    <row r="20" spans="1:10" x14ac:dyDescent="0.25">
      <c r="A20" s="9" t="s">
        <v>164</v>
      </c>
      <c r="B20" s="9" t="s">
        <v>165</v>
      </c>
      <c r="C20" s="8">
        <v>71.39</v>
      </c>
      <c r="D20" s="7">
        <v>53.1</v>
      </c>
      <c r="E20" s="11">
        <f t="shared" si="0"/>
        <v>9.9999999999999908E-2</v>
      </c>
      <c r="F20" s="10">
        <v>58.41</v>
      </c>
      <c r="G20" s="4">
        <f>IFERROR(_xlfn.XLOOKUP(B20,'[1]Toda FM'!$A:$A,'[1]Toda FM'!$Q:$Q,""),"")</f>
        <v>0.1</v>
      </c>
      <c r="H20" s="3" t="str" cm="1">
        <f t="array" ref="H20">IFERROR(_xlfn.LET(_xlpm.rw,MATCH(B20,'[1]Toda FM'!$A:$A,0),_xlpm.vals,INDEX('[1]Toda FM'!$H:$M,_xlpm.rw,0),_xlpm.diffs,ABS(_xlpm.vals-F20),_xlpm.mn,MIN(_xlpm.diffs),_xlpm.pos,MATCH(_xlpm.mn,_xlpm.diffs,0),IF(_xlpm.mn/F20&lt;=0.02,TRIM(INDEX('[1]Toda FM'!$H$2:$M$2,1,_xlpm.pos)),"")),"")</f>
        <v>F8</v>
      </c>
      <c r="I20" s="3">
        <f>IFERROR(_xlfn.XLOOKUP(B20,'[1]Toda FM'!$A:$A,'[1]Toda FM'!$R:$R,""),"")</f>
        <v>0</v>
      </c>
    </row>
    <row r="21" spans="1:10" x14ac:dyDescent="0.25">
      <c r="A21" s="9" t="s">
        <v>164</v>
      </c>
      <c r="B21" s="9" t="s">
        <v>82</v>
      </c>
      <c r="C21" s="8">
        <v>74</v>
      </c>
      <c r="D21" s="7">
        <v>62.9</v>
      </c>
      <c r="E21" s="11">
        <f t="shared" si="0"/>
        <v>5.8823529411764643E-2</v>
      </c>
      <c r="F21" s="10">
        <v>66.599999999999994</v>
      </c>
      <c r="G21" s="4">
        <f>IFERROR(_xlfn.XLOOKUP(B21,'[1]Toda FM'!$A:$A,'[1]Toda FM'!$Q:$Q,""),"")</f>
        <v>0</v>
      </c>
      <c r="H21" s="3" t="str" cm="1">
        <f t="array" ref="H21">IFERROR(_xlfn.LET(_xlpm.rw,MATCH(B21,'[1]Toda FM'!$A:$A,0),_xlpm.vals,INDEX('[1]Toda FM'!$H:$M,_xlpm.rw,0),_xlpm.diffs,ABS(_xlpm.vals-F21),_xlpm.mn,MIN(_xlpm.diffs),_xlpm.pos,MATCH(_xlpm.mn,_xlpm.diffs,0),IF(_xlpm.mn/F21&lt;=0.02,TRIM(INDEX('[1]Toda FM'!$H$2:$M$2,1,_xlpm.pos)),"")),"")</f>
        <v>F8</v>
      </c>
      <c r="I21" s="3">
        <f>IFERROR(_xlfn.XLOOKUP(B21,'[1]Toda FM'!$A:$A,'[1]Toda FM'!$R:$R,""),"")</f>
        <v>0</v>
      </c>
    </row>
    <row r="22" spans="1:10" x14ac:dyDescent="0.25">
      <c r="A22" s="9" t="s">
        <v>164</v>
      </c>
      <c r="B22" s="9" t="s">
        <v>36</v>
      </c>
      <c r="C22" s="8">
        <v>69</v>
      </c>
      <c r="D22" s="7">
        <v>48.3</v>
      </c>
      <c r="E22" s="38">
        <f t="shared" si="0"/>
        <v>0.10000000000000012</v>
      </c>
      <c r="F22" s="39">
        <v>53.13</v>
      </c>
      <c r="G22" s="4">
        <f>IFERROR(_xlfn.XLOOKUP(B22,'[1]Toda FM'!$A:$A,'[1]Toda FM'!$Q:$Q,""),"")</f>
        <v>0</v>
      </c>
      <c r="H22" s="3" t="str" cm="1">
        <f t="array" ref="H22">IFERROR(_xlfn.LET(_xlpm.rw,MATCH(B22,'[1]Toda FM'!$A:$A,0),_xlpm.vals,INDEX('[1]Toda FM'!$H:$M,_xlpm.rw,0),_xlpm.diffs,ABS(_xlpm.vals-F22),_xlpm.mn,MIN(_xlpm.diffs),_xlpm.pos,MATCH(_xlpm.mn,_xlpm.diffs,0),IF(_xlpm.mn/F22&lt;=0.02,TRIM(INDEX('[1]Toda FM'!$H$2:$M$2,1,_xlpm.pos)),"")),"")</f>
        <v/>
      </c>
      <c r="I22" s="3">
        <f>IFERROR(_xlfn.XLOOKUP(B22,'[1]Toda FM'!$A:$A,'[1]Toda FM'!$R:$R,""),"")</f>
        <v>0</v>
      </c>
    </row>
    <row r="23" spans="1:10" x14ac:dyDescent="0.25">
      <c r="A23" s="9" t="s">
        <v>164</v>
      </c>
      <c r="B23" s="9" t="s">
        <v>133</v>
      </c>
      <c r="C23" s="8">
        <v>115.21125000000001</v>
      </c>
      <c r="D23" s="7">
        <v>83.6</v>
      </c>
      <c r="E23" s="38">
        <f t="shared" si="0"/>
        <v>0.1</v>
      </c>
      <c r="F23" s="39">
        <v>91.96</v>
      </c>
      <c r="G23" s="4">
        <f>IFERROR(_xlfn.XLOOKUP(B23,'[1]Toda FM'!$A:$A,'[1]Toda FM'!$Q:$Q,""),"")</f>
        <v>0.05</v>
      </c>
      <c r="H23" s="3" t="str" cm="1">
        <f t="array" ref="H23">IFERROR(_xlfn.LET(_xlpm.rw,MATCH(B23,'[1]Toda FM'!$A:$A,0),_xlpm.vals,INDEX('[1]Toda FM'!$H:$M,_xlpm.rw,0),_xlpm.diffs,ABS(_xlpm.vals-F23),_xlpm.mn,MIN(_xlpm.diffs),_xlpm.pos,MATCH(_xlpm.mn,_xlpm.diffs,0),IF(_xlpm.mn/F23&lt;=0.02,TRIM(INDEX('[1]Toda FM'!$H$2:$M$2,1,_xlpm.pos)),"")),"")</f>
        <v>F10</v>
      </c>
      <c r="I23" s="3">
        <f>IFERROR(_xlfn.XLOOKUP(B23,'[1]Toda FM'!$A:$A,'[1]Toda FM'!$R:$R,""),"")</f>
        <v>0</v>
      </c>
    </row>
    <row r="24" spans="1:10" x14ac:dyDescent="0.25">
      <c r="A24" s="9" t="s">
        <v>164</v>
      </c>
      <c r="B24" s="9" t="s">
        <v>44</v>
      </c>
      <c r="C24" s="8">
        <v>81.584999999999994</v>
      </c>
      <c r="D24" s="7">
        <v>59.2</v>
      </c>
      <c r="E24" s="38">
        <f t="shared" si="0"/>
        <v>0.10000000000000002</v>
      </c>
      <c r="F24" s="39">
        <v>65.12</v>
      </c>
      <c r="G24" s="4">
        <f>IFERROR(_xlfn.XLOOKUP(B24,'[1]Toda FM'!$A:$A,'[1]Toda FM'!$Q:$Q,""),"")</f>
        <v>0.05</v>
      </c>
      <c r="H24" s="3" t="str" cm="1">
        <f t="array" ref="H24">IFERROR(_xlfn.LET(_xlpm.rw,MATCH(B24,'[1]Toda FM'!$A:$A,0),_xlpm.vals,INDEX('[1]Toda FM'!$H:$M,_xlpm.rw,0),_xlpm.diffs,ABS(_xlpm.vals-F24),_xlpm.mn,MIN(_xlpm.diffs),_xlpm.pos,MATCH(_xlpm.mn,_xlpm.diffs,0),IF(_xlpm.mn/F24&lt;=0.02,TRIM(INDEX('[1]Toda FM'!$H$2:$M$2,1,_xlpm.pos)),"")),"")</f>
        <v>F10</v>
      </c>
      <c r="I24" s="3">
        <f>IFERROR(_xlfn.XLOOKUP(B24,'[1]Toda FM'!$A:$A,'[1]Toda FM'!$R:$R,""),"")</f>
        <v>0</v>
      </c>
    </row>
    <row r="25" spans="1:10" x14ac:dyDescent="0.25">
      <c r="A25" s="9" t="s">
        <v>164</v>
      </c>
      <c r="B25" s="9" t="s">
        <v>35</v>
      </c>
      <c r="C25" s="8">
        <v>150.64500000000001</v>
      </c>
      <c r="D25" s="7">
        <v>112.05</v>
      </c>
      <c r="E25" s="11">
        <f t="shared" si="0"/>
        <v>9.9999999999999992E-2</v>
      </c>
      <c r="F25" s="10">
        <v>123.255</v>
      </c>
      <c r="G25" s="4">
        <f>IFERROR(_xlfn.XLOOKUP(B25,'[1]Toda FM'!$A:$A,'[1]Toda FM'!$Q:$Q,""),"")</f>
        <v>0.1</v>
      </c>
      <c r="H25" s="3" t="str" cm="1">
        <f t="array" ref="H25">IFERROR(_xlfn.LET(_xlpm.rw,MATCH(B25,'[1]Toda FM'!$A:$A,0),_xlpm.vals,INDEX('[1]Toda FM'!$H:$M,_xlpm.rw,0),_xlpm.diffs,ABS(_xlpm.vals-F25),_xlpm.mn,MIN(_xlpm.diffs),_xlpm.pos,MATCH(_xlpm.mn,_xlpm.diffs,0),IF(_xlpm.mn/F25&lt;=0.02,TRIM(INDEX('[1]Toda FM'!$H$2:$M$2,1,_xlpm.pos)),"")),"")</f>
        <v>F8</v>
      </c>
      <c r="I25" s="3">
        <f>IFERROR(_xlfn.XLOOKUP(B25,'[1]Toda FM'!$A:$A,'[1]Toda FM'!$R:$R,""),"")</f>
        <v>0</v>
      </c>
    </row>
    <row r="26" spans="1:10" x14ac:dyDescent="0.25">
      <c r="A26" s="9" t="s">
        <v>128</v>
      </c>
      <c r="B26" s="9" t="s">
        <v>163</v>
      </c>
      <c r="C26" s="8">
        <v>470.69</v>
      </c>
      <c r="D26" s="7">
        <v>369.55</v>
      </c>
      <c r="E26" s="11">
        <f t="shared" si="0"/>
        <v>0.10001352996888101</v>
      </c>
      <c r="F26" s="10">
        <v>406.51</v>
      </c>
      <c r="G26" s="4">
        <f>IFERROR(_xlfn.XLOOKUP(B26,'[1]Toda FM'!$A:$A,'[1]Toda FM'!$Q:$Q,""),"")</f>
        <v>0.1</v>
      </c>
      <c r="H26" s="3" t="str" cm="1">
        <f t="array" ref="H26">IFERROR(_xlfn.LET(_xlpm.rw,MATCH(B26,'[1]Toda FM'!$A:$A,0),_xlpm.vals,INDEX('[1]Toda FM'!$H:$M,_xlpm.rw,0),_xlpm.diffs,ABS(_xlpm.vals-F26),_xlpm.mn,MIN(_xlpm.diffs),_xlpm.pos,MATCH(_xlpm.mn,_xlpm.diffs,0),IF(_xlpm.mn/F26&lt;=0.02,TRIM(INDEX('[1]Toda FM'!$H$2:$M$2,1,_xlpm.pos)),"")),"")</f>
        <v>F6</v>
      </c>
      <c r="I26" s="3">
        <f>IFERROR(_xlfn.XLOOKUP(B26,'[1]Toda FM'!$A:$A,'[1]Toda FM'!$R:$R,""),"")</f>
        <v>0</v>
      </c>
    </row>
    <row r="27" spans="1:10" x14ac:dyDescent="0.25">
      <c r="A27" s="9" t="s">
        <v>128</v>
      </c>
      <c r="B27" s="9" t="s">
        <v>162</v>
      </c>
      <c r="C27" s="8">
        <v>107.69</v>
      </c>
      <c r="D27" s="7">
        <v>84.55</v>
      </c>
      <c r="E27" s="11">
        <f t="shared" si="0"/>
        <v>0.10005913660555894</v>
      </c>
      <c r="F27" s="10">
        <v>93.01</v>
      </c>
      <c r="G27" s="4">
        <f>IFERROR(_xlfn.XLOOKUP(B27,'[1]Toda FM'!$A:$A,'[1]Toda FM'!$Q:$Q,""),"")</f>
        <v>0.1</v>
      </c>
      <c r="H27" s="3" t="str" cm="1">
        <f t="array" ref="H27">IFERROR(_xlfn.LET(_xlpm.rw,MATCH(B27,'[1]Toda FM'!$A:$A,0),_xlpm.vals,INDEX('[1]Toda FM'!$H:$M,_xlpm.rw,0),_xlpm.diffs,ABS(_xlpm.vals-F27),_xlpm.mn,MIN(_xlpm.diffs),_xlpm.pos,MATCH(_xlpm.mn,_xlpm.diffs,0),IF(_xlpm.mn/F27&lt;=0.02,TRIM(INDEX('[1]Toda FM'!$H$2:$M$2,1,_xlpm.pos)),"")),"")</f>
        <v>F6</v>
      </c>
      <c r="I27" s="3">
        <f>IFERROR(_xlfn.XLOOKUP(B27,'[1]Toda FM'!$A:$A,'[1]Toda FM'!$R:$R,""),"")</f>
        <v>0</v>
      </c>
    </row>
    <row r="28" spans="1:10" x14ac:dyDescent="0.25">
      <c r="A28" s="9" t="s">
        <v>128</v>
      </c>
      <c r="B28" s="9" t="s">
        <v>161</v>
      </c>
      <c r="C28" s="8">
        <v>156.69499999999999</v>
      </c>
      <c r="D28" s="7">
        <v>116.55</v>
      </c>
      <c r="E28" s="6">
        <f t="shared" si="0"/>
        <v>0.10000000000000013</v>
      </c>
      <c r="F28" s="5">
        <v>128.20500000000001</v>
      </c>
      <c r="G28" s="4">
        <f>IFERROR(_xlfn.XLOOKUP(B28,'[1]Toda FM'!$A:$A,'[1]Toda FM'!$Q:$Q,""),"")</f>
        <v>0.1</v>
      </c>
      <c r="H28" s="3" t="str" cm="1">
        <f t="array" ref="H28">IFERROR(_xlfn.LET(_xlpm.rw,MATCH(B28,'[1]Toda FM'!$A:$A,0),_xlpm.vals,INDEX('[1]Toda FM'!$H:$M,_xlpm.rw,0),_xlpm.diffs,ABS(_xlpm.vals-F28),_xlpm.mn,MIN(_xlpm.diffs),_xlpm.pos,MATCH(_xlpm.mn,_xlpm.diffs,0),IF(_xlpm.mn/F28&lt;=0.02,TRIM(INDEX('[1]Toda FM'!$H$2:$M$2,1,_xlpm.pos)),"")),"")</f>
        <v>F8</v>
      </c>
      <c r="I28" s="3">
        <f>IFERROR(_xlfn.XLOOKUP(B28,'[1]Toda FM'!$A:$A,'[1]Toda FM'!$R:$R,""),"")</f>
        <v>0</v>
      </c>
      <c r="J28" t="s">
        <v>127</v>
      </c>
    </row>
    <row r="29" spans="1:10" x14ac:dyDescent="0.25">
      <c r="A29" s="9" t="s">
        <v>128</v>
      </c>
      <c r="B29" s="9" t="s">
        <v>161</v>
      </c>
      <c r="C29" s="8">
        <v>156.69499999999999</v>
      </c>
      <c r="D29" s="7">
        <v>119.5</v>
      </c>
      <c r="E29" s="11">
        <f t="shared" si="0"/>
        <v>7.2887029288702998E-2</v>
      </c>
      <c r="F29" s="10">
        <v>128.21</v>
      </c>
      <c r="G29" s="4">
        <f>IFERROR(_xlfn.XLOOKUP(B29,'[1]Toda FM'!$A:$A,'[1]Toda FM'!$Q:$Q,""),"")</f>
        <v>0.1</v>
      </c>
      <c r="H29" s="3" t="str" cm="1">
        <f t="array" ref="H29">IFERROR(_xlfn.LET(_xlpm.rw,MATCH(B29,'[1]Toda FM'!$A:$A,0),_xlpm.vals,INDEX('[1]Toda FM'!$H:$M,_xlpm.rw,0),_xlpm.diffs,ABS(_xlpm.vals-F29),_xlpm.mn,MIN(_xlpm.diffs),_xlpm.pos,MATCH(_xlpm.mn,_xlpm.diffs,0),IF(_xlpm.mn/F29&lt;=0.02,TRIM(INDEX('[1]Toda FM'!$H$2:$M$2,1,_xlpm.pos)),"")),"")</f>
        <v>F8</v>
      </c>
      <c r="I29" s="3">
        <f>IFERROR(_xlfn.XLOOKUP(B29,'[1]Toda FM'!$A:$A,'[1]Toda FM'!$R:$R,""),"")</f>
        <v>0</v>
      </c>
      <c r="J29" t="s">
        <v>160</v>
      </c>
    </row>
    <row r="30" spans="1:10" x14ac:dyDescent="0.25">
      <c r="A30" s="9" t="s">
        <v>128</v>
      </c>
      <c r="B30" s="9" t="s">
        <v>159</v>
      </c>
      <c r="C30" s="8">
        <v>470.69</v>
      </c>
      <c r="D30" s="7">
        <v>330.65</v>
      </c>
      <c r="E30" s="6">
        <f t="shared" si="0"/>
        <v>0.1</v>
      </c>
      <c r="F30" s="5">
        <v>363.71499999999997</v>
      </c>
      <c r="G30" s="4">
        <f>IFERROR(_xlfn.XLOOKUP(B30,'[1]Toda FM'!$A:$A,'[1]Toda FM'!$Q:$Q,""),"")</f>
        <v>0.1</v>
      </c>
      <c r="H30" s="3" t="str" cm="1">
        <f t="array" ref="H30">IFERROR(_xlfn.LET(_xlpm.rw,MATCH(B30,'[1]Toda FM'!$A:$A,0),_xlpm.vals,INDEX('[1]Toda FM'!$H:$M,_xlpm.rw,0),_xlpm.diffs,ABS(_xlpm.vals-F30),_xlpm.mn,MIN(_xlpm.diffs),_xlpm.pos,MATCH(_xlpm.mn,_xlpm.diffs,0),IF(_xlpm.mn/F30&lt;=0.02,TRIM(INDEX('[1]Toda FM'!$H$2:$M$2,1,_xlpm.pos)),"")),"")</f>
        <v>F10</v>
      </c>
      <c r="I30" s="3">
        <f>IFERROR(_xlfn.XLOOKUP(B30,'[1]Toda FM'!$A:$A,'[1]Toda FM'!$R:$R,""),"")</f>
        <v>0</v>
      </c>
      <c r="J30" t="s">
        <v>127</v>
      </c>
    </row>
    <row r="31" spans="1:10" x14ac:dyDescent="0.25">
      <c r="A31" s="9" t="s">
        <v>128</v>
      </c>
      <c r="B31" s="9" t="s">
        <v>158</v>
      </c>
      <c r="C31" s="8">
        <v>175.29750000000001</v>
      </c>
      <c r="D31" s="7">
        <v>151.05000000000001</v>
      </c>
      <c r="E31" s="11">
        <f t="shared" si="0"/>
        <v>4.9999999999999871E-2</v>
      </c>
      <c r="F31" s="10">
        <v>158.60249999999999</v>
      </c>
      <c r="G31" s="4">
        <f>IFERROR(_xlfn.XLOOKUP(B31,'[1]Toda FM'!$A:$A,'[1]Toda FM'!$Q:$Q,""),"")</f>
        <v>0.05</v>
      </c>
      <c r="H31" s="3" t="str" cm="1">
        <f t="array" ref="H31">IFERROR(_xlfn.LET(_xlpm.rw,MATCH(B31,'[1]Toda FM'!$A:$A,0),_xlpm.vals,INDEX('[1]Toda FM'!$H:$M,_xlpm.rw,0),_xlpm.diffs,ABS(_xlpm.vals-F31),_xlpm.mn,MIN(_xlpm.diffs),_xlpm.pos,MATCH(_xlpm.mn,_xlpm.diffs,0),IF(_xlpm.mn/F31&lt;=0.02,TRIM(INDEX('[1]Toda FM'!$H$2:$M$2,1,_xlpm.pos)),"")),"")</f>
        <v>F6</v>
      </c>
      <c r="I31" s="3" t="str">
        <f>IFERROR(_xlfn.XLOOKUP(B31,'[1]Toda FM'!$A:$A,'[1]Toda FM'!$R:$R,""),"")</f>
        <v>REVOLUTION</v>
      </c>
    </row>
    <row r="32" spans="1:10" x14ac:dyDescent="0.25">
      <c r="A32" s="9" t="s">
        <v>128</v>
      </c>
      <c r="B32" s="9" t="s">
        <v>157</v>
      </c>
      <c r="C32" s="8">
        <v>139</v>
      </c>
      <c r="D32" s="7">
        <v>125.1</v>
      </c>
      <c r="E32" s="11">
        <f t="shared" si="0"/>
        <v>5.5555555555555691E-2</v>
      </c>
      <c r="F32" s="10">
        <v>132.05000000000001</v>
      </c>
      <c r="G32" s="4">
        <f>IFERROR(_xlfn.XLOOKUP(B32,'[1]Toda FM'!$A:$A,'[1]Toda FM'!$Q:$Q,""),"")</f>
        <v>0</v>
      </c>
      <c r="H32" s="3" t="str" cm="1">
        <f t="array" ref="H32">IFERROR(_xlfn.LET(_xlpm.rw,MATCH(B32,'[1]Toda FM'!$A:$A,0),_xlpm.vals,INDEX('[1]Toda FM'!$H:$M,_xlpm.rw,0),_xlpm.diffs,ABS(_xlpm.vals-F32),_xlpm.mn,MIN(_xlpm.diffs),_xlpm.pos,MATCH(_xlpm.mn,_xlpm.diffs,0),IF(_xlpm.mn/F32&lt;=0.02,TRIM(INDEX('[1]Toda FM'!$H$2:$M$2,1,_xlpm.pos)),"")),"")</f>
        <v>F6</v>
      </c>
      <c r="I32" s="3">
        <f>IFERROR(_xlfn.XLOOKUP(B32,'[1]Toda FM'!$A:$A,'[1]Toda FM'!$R:$R,""),"")</f>
        <v>0</v>
      </c>
    </row>
    <row r="33" spans="1:10" x14ac:dyDescent="0.25">
      <c r="A33" s="9" t="s">
        <v>128</v>
      </c>
      <c r="B33" s="9" t="s">
        <v>18</v>
      </c>
      <c r="C33" s="8">
        <v>65.598749999999995</v>
      </c>
      <c r="D33" s="7">
        <v>53.32</v>
      </c>
      <c r="E33" s="6">
        <f t="shared" si="0"/>
        <v>5.4576144036008939E-2</v>
      </c>
      <c r="F33" s="5">
        <v>56.23</v>
      </c>
      <c r="G33" s="4">
        <f>IFERROR(_xlfn.XLOOKUP(B33,'[1]Toda FM'!$A:$A,'[1]Toda FM'!$Q:$Q,""),"")</f>
        <v>0.05</v>
      </c>
      <c r="H33" s="3" t="str" cm="1">
        <f t="array" ref="H33">IFERROR(_xlfn.LET(_xlpm.rw,MATCH(B33,'[1]Toda FM'!$A:$A,0),_xlpm.vals,INDEX('[1]Toda FM'!$H:$M,_xlpm.rw,0),_xlpm.diffs,ABS(_xlpm.vals-F33),_xlpm.mn,MIN(_xlpm.diffs),_xlpm.pos,MATCH(_xlpm.mn,_xlpm.diffs,0),IF(_xlpm.mn/F33&lt;=0.02,TRIM(INDEX('[1]Toda FM'!$H$2:$M$2,1,_xlpm.pos)),"")),"")</f>
        <v>F8</v>
      </c>
      <c r="I33" s="3">
        <f>IFERROR(_xlfn.XLOOKUP(B33,'[1]Toda FM'!$A:$A,'[1]Toda FM'!$R:$R,""),"")</f>
        <v>0</v>
      </c>
      <c r="J33" t="s">
        <v>127</v>
      </c>
    </row>
    <row r="34" spans="1:10" x14ac:dyDescent="0.25">
      <c r="A34" s="9" t="s">
        <v>128</v>
      </c>
      <c r="B34" s="9" t="s">
        <v>0</v>
      </c>
      <c r="C34" s="8">
        <v>260</v>
      </c>
      <c r="D34" s="7">
        <v>234</v>
      </c>
      <c r="E34" s="11">
        <f t="shared" si="0"/>
        <v>5.5555555555555552E-2</v>
      </c>
      <c r="F34" s="10">
        <v>247</v>
      </c>
      <c r="G34" s="4">
        <f>IFERROR(_xlfn.XLOOKUP(B34,'[1]Toda FM'!$A:$A,'[1]Toda FM'!$Q:$Q,""),"")</f>
        <v>0</v>
      </c>
      <c r="H34" s="3" t="str" cm="1">
        <f t="array" ref="H34">IFERROR(_xlfn.LET(_xlpm.rw,MATCH(B34,'[1]Toda FM'!$A:$A,0),_xlpm.vals,INDEX('[1]Toda FM'!$H:$M,_xlpm.rw,0),_xlpm.diffs,ABS(_xlpm.vals-F34),_xlpm.mn,MIN(_xlpm.diffs),_xlpm.pos,MATCH(_xlpm.mn,_xlpm.diffs,0),IF(_xlpm.mn/F34&lt;=0.02,TRIM(INDEX('[1]Toda FM'!$H$2:$M$2,1,_xlpm.pos)),"")),"")</f>
        <v>F6</v>
      </c>
      <c r="I34" s="3">
        <f>IFERROR(_xlfn.XLOOKUP(B34,'[1]Toda FM'!$A:$A,'[1]Toda FM'!$R:$R,""),"")</f>
        <v>0</v>
      </c>
    </row>
    <row r="35" spans="1:10" x14ac:dyDescent="0.25">
      <c r="A35" s="9" t="s">
        <v>128</v>
      </c>
      <c r="B35" s="9" t="s">
        <v>156</v>
      </c>
      <c r="C35" s="8">
        <v>273.76249999999999</v>
      </c>
      <c r="D35" s="7">
        <v>203.63</v>
      </c>
      <c r="E35" s="6">
        <f t="shared" ref="E35:E66" si="1">IFERROR((F35-D35)/D35,"")</f>
        <v>9.9985267396749081E-2</v>
      </c>
      <c r="F35" s="5">
        <v>223.99</v>
      </c>
      <c r="G35" s="4">
        <f>IFERROR(_xlfn.XLOOKUP(B35,'[1]Toda FM'!$A:$A,'[1]Toda FM'!$Q:$Q,""),"")</f>
        <v>0.1</v>
      </c>
      <c r="H35" s="3" t="str" cm="1">
        <f t="array" ref="H35">IFERROR(_xlfn.LET(_xlpm.rw,MATCH(B35,'[1]Toda FM'!$A:$A,0),_xlpm.vals,INDEX('[1]Toda FM'!$H:$M,_xlpm.rw,0),_xlpm.diffs,ABS(_xlpm.vals-F35),_xlpm.mn,MIN(_xlpm.diffs),_xlpm.pos,MATCH(_xlpm.mn,_xlpm.diffs,0),IF(_xlpm.mn/F35&lt;=0.02,TRIM(INDEX('[1]Toda FM'!$H$2:$M$2,1,_xlpm.pos)),"")),"")</f>
        <v>F8</v>
      </c>
      <c r="I35" s="3">
        <f>IFERROR(_xlfn.XLOOKUP(B35,'[1]Toda FM'!$A:$A,'[1]Toda FM'!$R:$R,""),"")</f>
        <v>0</v>
      </c>
      <c r="J35" t="s">
        <v>155</v>
      </c>
    </row>
    <row r="36" spans="1:10" x14ac:dyDescent="0.25">
      <c r="A36" s="9" t="s">
        <v>128</v>
      </c>
      <c r="B36" s="9" t="s">
        <v>154</v>
      </c>
      <c r="C36" s="8">
        <v>422.29</v>
      </c>
      <c r="D36" s="7">
        <v>331.55</v>
      </c>
      <c r="E36" s="11">
        <f t="shared" si="1"/>
        <v>9.9999999999999908E-2</v>
      </c>
      <c r="F36" s="10">
        <v>364.70499999999998</v>
      </c>
      <c r="G36" s="4">
        <f>IFERROR(_xlfn.XLOOKUP(B36,'[1]Toda FM'!$A:$A,'[1]Toda FM'!$Q:$Q,""),"")</f>
        <v>0.1</v>
      </c>
      <c r="H36" s="3" t="str" cm="1">
        <f t="array" ref="H36">IFERROR(_xlfn.LET(_xlpm.rw,MATCH(B36,'[1]Toda FM'!$A:$A,0),_xlpm.vals,INDEX('[1]Toda FM'!$H:$M,_xlpm.rw,0),_xlpm.diffs,ABS(_xlpm.vals-F36),_xlpm.mn,MIN(_xlpm.diffs),_xlpm.pos,MATCH(_xlpm.mn,_xlpm.diffs,0),IF(_xlpm.mn/F36&lt;=0.02,TRIM(INDEX('[1]Toda FM'!$H$2:$M$2,1,_xlpm.pos)),"")),"")</f>
        <v>F6</v>
      </c>
      <c r="I36" s="3">
        <f>IFERROR(_xlfn.XLOOKUP(B36,'[1]Toda FM'!$A:$A,'[1]Toda FM'!$R:$R,""),"")</f>
        <v>0</v>
      </c>
    </row>
    <row r="37" spans="1:10" x14ac:dyDescent="0.25">
      <c r="A37" s="9" t="s">
        <v>128</v>
      </c>
      <c r="B37" s="9" t="s">
        <v>53</v>
      </c>
      <c r="C37" s="8">
        <v>219.39750000000001</v>
      </c>
      <c r="D37" s="7">
        <v>169.15</v>
      </c>
      <c r="E37" s="11">
        <f t="shared" si="1"/>
        <v>5.0014779781259282E-2</v>
      </c>
      <c r="F37" s="10">
        <v>177.61</v>
      </c>
      <c r="G37" s="4">
        <f>IFERROR(_xlfn.XLOOKUP(B37,'[1]Toda FM'!$A:$A,'[1]Toda FM'!$Q:$Q,""),"")</f>
        <v>0.05</v>
      </c>
      <c r="H37" s="3" t="str" cm="1">
        <f t="array" ref="H37">IFERROR(_xlfn.LET(_xlpm.rw,MATCH(B37,'[1]Toda FM'!$A:$A,0),_xlpm.vals,INDEX('[1]Toda FM'!$H:$M,_xlpm.rw,0),_xlpm.diffs,ABS(_xlpm.vals-F37),_xlpm.mn,MIN(_xlpm.diffs),_xlpm.pos,MATCH(_xlpm.mn,_xlpm.diffs,0),IF(_xlpm.mn/F37&lt;=0.02,TRIM(INDEX('[1]Toda FM'!$H$2:$M$2,1,_xlpm.pos)),"")),"")</f>
        <v>F10</v>
      </c>
      <c r="I37" s="3" t="str">
        <f>IFERROR(_xlfn.XLOOKUP(B37,'[1]Toda FM'!$A:$A,'[1]Toda FM'!$R:$R,""),"")</f>
        <v>REVOLUTION</v>
      </c>
      <c r="J37" t="s">
        <v>127</v>
      </c>
    </row>
    <row r="38" spans="1:10" x14ac:dyDescent="0.25">
      <c r="A38" s="9" t="s">
        <v>128</v>
      </c>
      <c r="B38" s="9" t="s">
        <v>153</v>
      </c>
      <c r="C38" s="8">
        <v>313.995</v>
      </c>
      <c r="D38" s="7">
        <v>237.54599999999999</v>
      </c>
      <c r="E38" s="11">
        <f t="shared" si="1"/>
        <v>8.1474745943943425E-2</v>
      </c>
      <c r="F38" s="10">
        <v>256.89999999999998</v>
      </c>
      <c r="G38" s="4">
        <f>IFERROR(_xlfn.XLOOKUP(B38,'[1]Toda FM'!$A:$A,'[1]Toda FM'!$Q:$Q,""),"")</f>
        <v>0.1</v>
      </c>
      <c r="H38" s="3" t="str" cm="1">
        <f t="array" ref="H38">IFERROR(_xlfn.LET(_xlpm.rw,MATCH(B38,'[1]Toda FM'!$A:$A,0),_xlpm.vals,INDEX('[1]Toda FM'!$H:$M,_xlpm.rw,0),_xlpm.diffs,ABS(_xlpm.vals-F38),_xlpm.mn,MIN(_xlpm.diffs),_xlpm.pos,MATCH(_xlpm.mn,_xlpm.diffs,0),IF(_xlpm.mn/F38&lt;=0.02,TRIM(INDEX('[1]Toda FM'!$H$2:$M$2,1,_xlpm.pos)),"")),"")</f>
        <v>F8</v>
      </c>
      <c r="I38" s="3">
        <f>IFERROR(_xlfn.XLOOKUP(B38,'[1]Toda FM'!$A:$A,'[1]Toda FM'!$R:$R,""),"")</f>
        <v>0</v>
      </c>
    </row>
    <row r="39" spans="1:10" x14ac:dyDescent="0.25">
      <c r="A39" s="9" t="s">
        <v>128</v>
      </c>
      <c r="B39" s="9" t="s">
        <v>152</v>
      </c>
      <c r="C39" s="8">
        <v>180.29</v>
      </c>
      <c r="D39" s="7">
        <v>134.1</v>
      </c>
      <c r="E39" s="11">
        <f t="shared" si="1"/>
        <v>9.9999999999999978E-2</v>
      </c>
      <c r="F39" s="10">
        <v>147.51</v>
      </c>
      <c r="G39" s="4">
        <f>IFERROR(_xlfn.XLOOKUP(B39,'[1]Toda FM'!$A:$A,'[1]Toda FM'!$Q:$Q,""),"")</f>
        <v>0.1</v>
      </c>
      <c r="H39" s="3" t="str" cm="1">
        <f t="array" ref="H39">IFERROR(_xlfn.LET(_xlpm.rw,MATCH(B39,'[1]Toda FM'!$A:$A,0),_xlpm.vals,INDEX('[1]Toda FM'!$H:$M,_xlpm.rw,0),_xlpm.diffs,ABS(_xlpm.vals-F39),_xlpm.mn,MIN(_xlpm.diffs),_xlpm.pos,MATCH(_xlpm.mn,_xlpm.diffs,0),IF(_xlpm.mn/F39&lt;=0.02,TRIM(INDEX('[1]Toda FM'!$H$2:$M$2,1,_xlpm.pos)),"")),"")</f>
        <v>F8</v>
      </c>
      <c r="I39" s="3">
        <f>IFERROR(_xlfn.XLOOKUP(B39,'[1]Toda FM'!$A:$A,'[1]Toda FM'!$R:$R,""),"")</f>
        <v>0</v>
      </c>
    </row>
    <row r="40" spans="1:10" x14ac:dyDescent="0.25">
      <c r="A40" s="9" t="s">
        <v>128</v>
      </c>
      <c r="B40" s="9" t="s">
        <v>85</v>
      </c>
      <c r="C40" s="8">
        <v>87.097499999999997</v>
      </c>
      <c r="D40" s="7">
        <v>71.099999999999994</v>
      </c>
      <c r="E40" s="11">
        <f t="shared" si="1"/>
        <v>5.00000000000001E-2</v>
      </c>
      <c r="F40" s="10">
        <v>74.655000000000001</v>
      </c>
      <c r="G40" s="4">
        <f>IFERROR(_xlfn.XLOOKUP(B40,'[1]Toda FM'!$A:$A,'[1]Toda FM'!$Q:$Q,""),"")</f>
        <v>0.05</v>
      </c>
      <c r="H40" s="3" t="str" cm="1">
        <f t="array" ref="H40">IFERROR(_xlfn.LET(_xlpm.rw,MATCH(B40,'[1]Toda FM'!$A:$A,0),_xlpm.vals,INDEX('[1]Toda FM'!$H:$M,_xlpm.rw,0),_xlpm.diffs,ABS(_xlpm.vals-F40),_xlpm.mn,MIN(_xlpm.diffs),_xlpm.pos,MATCH(_xlpm.mn,_xlpm.diffs,0),IF(_xlpm.mn/F40&lt;=0.02,TRIM(INDEX('[1]Toda FM'!$H$2:$M$2,1,_xlpm.pos)),"")),"")</f>
        <v>F8</v>
      </c>
      <c r="I40" s="3">
        <f>IFERROR(_xlfn.XLOOKUP(B40,'[1]Toda FM'!$A:$A,'[1]Toda FM'!$R:$R,""),"")</f>
        <v>0</v>
      </c>
    </row>
    <row r="41" spans="1:10" x14ac:dyDescent="0.25">
      <c r="A41" s="9" t="s">
        <v>128</v>
      </c>
      <c r="B41" s="9" t="s">
        <v>27</v>
      </c>
      <c r="C41" s="8">
        <v>84.094999999999999</v>
      </c>
      <c r="D41" s="7">
        <v>66.02</v>
      </c>
      <c r="E41" s="11">
        <f t="shared" si="1"/>
        <v>0.10008330808845807</v>
      </c>
      <c r="F41" s="10">
        <v>72.627499999999998</v>
      </c>
      <c r="G41" s="4">
        <f>IFERROR(_xlfn.XLOOKUP(B41,'[1]Toda FM'!$A:$A,'[1]Toda FM'!$Q:$Q,""),"")</f>
        <v>0.1</v>
      </c>
      <c r="H41" s="3" t="str" cm="1">
        <f t="array" ref="H41">IFERROR(_xlfn.LET(_xlpm.rw,MATCH(B41,'[1]Toda FM'!$A:$A,0),_xlpm.vals,INDEX('[1]Toda FM'!$H:$M,_xlpm.rw,0),_xlpm.diffs,ABS(_xlpm.vals-F41),_xlpm.mn,MIN(_xlpm.diffs),_xlpm.pos,MATCH(_xlpm.mn,_xlpm.diffs,0),IF(_xlpm.mn/F41&lt;=0.02,TRIM(INDEX('[1]Toda FM'!$H$2:$M$2,1,_xlpm.pos)),"")),"")</f>
        <v>F6</v>
      </c>
      <c r="I41" s="3">
        <f>IFERROR(_xlfn.XLOOKUP(B41,'[1]Toda FM'!$A:$A,'[1]Toda FM'!$R:$R,""),"")</f>
        <v>0</v>
      </c>
    </row>
    <row r="42" spans="1:10" x14ac:dyDescent="0.25">
      <c r="A42" s="9" t="s">
        <v>128</v>
      </c>
      <c r="B42" s="9" t="s">
        <v>93</v>
      </c>
      <c r="C42" s="8">
        <v>74.37</v>
      </c>
      <c r="D42" s="7">
        <v>64.22</v>
      </c>
      <c r="E42" s="11">
        <f t="shared" si="1"/>
        <v>4.2198691996262971E-2</v>
      </c>
      <c r="F42" s="10">
        <v>66.930000000000007</v>
      </c>
      <c r="G42" s="4">
        <f>IFERROR(_xlfn.XLOOKUP(B42,'[1]Toda FM'!$A:$A,'[1]Toda FM'!$Q:$Q,""),"")</f>
        <v>0</v>
      </c>
      <c r="H42" s="3" t="str" cm="1">
        <f t="array" ref="H42">IFERROR(_xlfn.LET(_xlpm.rw,MATCH(B42,'[1]Toda FM'!$A:$A,0),_xlpm.vals,INDEX('[1]Toda FM'!$H:$M,_xlpm.rw,0),_xlpm.diffs,ABS(_xlpm.vals-F42),_xlpm.mn,MIN(_xlpm.diffs),_xlpm.pos,MATCH(_xlpm.mn,_xlpm.diffs,0),IF(_xlpm.mn/F42&lt;=0.02,TRIM(INDEX('[1]Toda FM'!$H$2:$M$2,1,_xlpm.pos)),"")),"")</f>
        <v>F8</v>
      </c>
      <c r="I42" s="3" t="str">
        <f>IFERROR(_xlfn.XLOOKUP(B42,'[1]Toda FM'!$A:$A,'[1]Toda FM'!$R:$R,""),"")</f>
        <v>WATER 
REPELLENT</v>
      </c>
    </row>
    <row r="43" spans="1:10" x14ac:dyDescent="0.25">
      <c r="A43" s="9" t="s">
        <v>128</v>
      </c>
      <c r="B43" s="9" t="s">
        <v>93</v>
      </c>
      <c r="C43" s="8">
        <v>74.37</v>
      </c>
      <c r="D43" s="7">
        <v>69.5</v>
      </c>
      <c r="E43" s="11">
        <f t="shared" si="1"/>
        <v>1.6568345323740987E-2</v>
      </c>
      <c r="F43" s="10">
        <v>70.651499999999999</v>
      </c>
      <c r="G43" s="4">
        <f>IFERROR(_xlfn.XLOOKUP(B43,'[1]Toda FM'!$A:$A,'[1]Toda FM'!$Q:$Q,""),"")</f>
        <v>0</v>
      </c>
      <c r="H43" s="3" t="str" cm="1">
        <f t="array" ref="H43">IFERROR(_xlfn.LET(_xlpm.rw,MATCH(B43,'[1]Toda FM'!$A:$A,0),_xlpm.vals,INDEX('[1]Toda FM'!$H:$M,_xlpm.rw,0),_xlpm.diffs,ABS(_xlpm.vals-F43),_xlpm.mn,MIN(_xlpm.diffs),_xlpm.pos,MATCH(_xlpm.mn,_xlpm.diffs,0),IF(_xlpm.mn/F43&lt;=0.02,TRIM(INDEX('[1]Toda FM'!$H$2:$M$2,1,_xlpm.pos)),"")),"")</f>
        <v>F6</v>
      </c>
      <c r="I43" s="3" t="str">
        <f>IFERROR(_xlfn.XLOOKUP(B43,'[1]Toda FM'!$A:$A,'[1]Toda FM'!$R:$R,""),"")</f>
        <v>WATER 
REPELLENT</v>
      </c>
    </row>
    <row r="44" spans="1:10" x14ac:dyDescent="0.25">
      <c r="A44" s="9" t="s">
        <v>128</v>
      </c>
      <c r="B44" s="9" t="s">
        <v>151</v>
      </c>
      <c r="C44" s="8">
        <v>101.12</v>
      </c>
      <c r="D44" s="7">
        <v>93.337500000000006</v>
      </c>
      <c r="E44" s="11">
        <f t="shared" si="1"/>
        <v>2.9168340699075895E-2</v>
      </c>
      <c r="F44" s="10">
        <v>96.06</v>
      </c>
      <c r="G44" s="4">
        <f>IFERROR(_xlfn.XLOOKUP(B44,'[1]Toda FM'!$A:$A,'[1]Toda FM'!$Q:$Q,""),"")</f>
        <v>0</v>
      </c>
      <c r="H44" s="3" t="str" cm="1">
        <f t="array" ref="H44">IFERROR(_xlfn.LET(_xlpm.rw,MATCH(B44,'[1]Toda FM'!$A:$A,0),_xlpm.vals,INDEX('[1]Toda FM'!$H:$M,_xlpm.rw,0),_xlpm.diffs,ABS(_xlpm.vals-F44),_xlpm.mn,MIN(_xlpm.diffs),_xlpm.pos,MATCH(_xlpm.mn,_xlpm.diffs,0),IF(_xlpm.mn/F44&lt;=0.02,TRIM(INDEX('[1]Toda FM'!$H$2:$M$2,1,_xlpm.pos)),"")),"")</f>
        <v>F6</v>
      </c>
      <c r="I44" s="3" t="str">
        <f>IFERROR(_xlfn.XLOOKUP(B44,'[1]Toda FM'!$A:$A,'[1]Toda FM'!$R:$R,""),"")</f>
        <v>WATER 
REPELLENT</v>
      </c>
    </row>
    <row r="45" spans="1:10" x14ac:dyDescent="0.25">
      <c r="A45" s="9" t="s">
        <v>128</v>
      </c>
      <c r="B45" s="9" t="s">
        <v>42</v>
      </c>
      <c r="C45" s="8">
        <v>84.5</v>
      </c>
      <c r="D45" s="7">
        <v>58.18</v>
      </c>
      <c r="E45" s="38">
        <f t="shared" si="1"/>
        <v>9.9862495702990758E-2</v>
      </c>
      <c r="F45" s="39">
        <v>63.99</v>
      </c>
      <c r="G45" s="4">
        <f>IFERROR(_xlfn.XLOOKUP(B45,'[1]Toda FM'!$A:$A,'[1]Toda FM'!$Q:$Q,""),"")</f>
        <v>0</v>
      </c>
      <c r="H45" s="3" t="str" cm="1">
        <f t="array" ref="H45">IFERROR(_xlfn.LET(_xlpm.rw,MATCH(B45,'[1]Toda FM'!$A:$A,0),_xlpm.vals,INDEX('[1]Toda FM'!$H:$M,_xlpm.rw,0),_xlpm.diffs,ABS(_xlpm.vals-F45),_xlpm.mn,MIN(_xlpm.diffs),_xlpm.pos,MATCH(_xlpm.mn,_xlpm.diffs,0),IF(_xlpm.mn/F45&lt;=0.02,TRIM(INDEX('[1]Toda FM'!$H$2:$M$2,1,_xlpm.pos)),"")),"")</f>
        <v/>
      </c>
      <c r="I45" s="3">
        <f>IFERROR(_xlfn.XLOOKUP(B45,'[1]Toda FM'!$A:$A,'[1]Toda FM'!$R:$R,""),"")</f>
        <v>0</v>
      </c>
      <c r="J45" t="s">
        <v>127</v>
      </c>
    </row>
    <row r="46" spans="1:10" x14ac:dyDescent="0.25">
      <c r="A46" s="9" t="s">
        <v>128</v>
      </c>
      <c r="B46" s="9" t="s">
        <v>110</v>
      </c>
      <c r="C46" s="8">
        <v>168.79499999999999</v>
      </c>
      <c r="D46" s="7">
        <v>132.53</v>
      </c>
      <c r="E46" s="11">
        <f t="shared" si="1"/>
        <v>9.9958499962272712E-2</v>
      </c>
      <c r="F46" s="10">
        <v>145.7775</v>
      </c>
      <c r="G46" s="4">
        <f>IFERROR(_xlfn.XLOOKUP(B46,'[1]Toda FM'!$A:$A,'[1]Toda FM'!$Q:$Q,""),"")</f>
        <v>0.1</v>
      </c>
      <c r="H46" s="3" t="str" cm="1">
        <f t="array" ref="H46">IFERROR(_xlfn.LET(_xlpm.rw,MATCH(B46,'[1]Toda FM'!$A:$A,0),_xlpm.vals,INDEX('[1]Toda FM'!$H:$M,_xlpm.rw,0),_xlpm.diffs,ABS(_xlpm.vals-F46),_xlpm.mn,MIN(_xlpm.diffs),_xlpm.pos,MATCH(_xlpm.mn,_xlpm.diffs,0),IF(_xlpm.mn/F46&lt;=0.02,TRIM(INDEX('[1]Toda FM'!$H$2:$M$2,1,_xlpm.pos)),"")),"")</f>
        <v>F6</v>
      </c>
      <c r="I46" s="3">
        <f>IFERROR(_xlfn.XLOOKUP(B46,'[1]Toda FM'!$A:$A,'[1]Toda FM'!$R:$R,""),"")</f>
        <v>0</v>
      </c>
      <c r="J46" t="s">
        <v>127</v>
      </c>
    </row>
    <row r="47" spans="1:10" x14ac:dyDescent="0.25">
      <c r="A47" s="9" t="s">
        <v>128</v>
      </c>
      <c r="B47" s="9" t="s">
        <v>150</v>
      </c>
      <c r="C47" s="8">
        <v>114.45</v>
      </c>
      <c r="D47" s="7">
        <v>99</v>
      </c>
      <c r="E47" s="6">
        <f t="shared" si="1"/>
        <v>9.8282828282828319E-2</v>
      </c>
      <c r="F47" s="5">
        <v>108.73</v>
      </c>
      <c r="G47" s="4">
        <f>IFERROR(_xlfn.XLOOKUP(B47,'[1]Toda FM'!$A:$A,'[1]Toda FM'!$Q:$Q,""),"")</f>
        <v>0.05</v>
      </c>
      <c r="H47" s="3" t="str" cm="1">
        <f t="array" ref="H47">IFERROR(_xlfn.LET(_xlpm.rw,MATCH(B47,'[1]Toda FM'!$A:$A,0),_xlpm.vals,INDEX('[1]Toda FM'!$H:$M,_xlpm.rw,0),_xlpm.diffs,ABS(_xlpm.vals-F47),_xlpm.mn,MIN(_xlpm.diffs),_xlpm.pos,MATCH(_xlpm.mn,_xlpm.diffs,0),IF(_xlpm.mn/F47&lt;=0.02,TRIM(INDEX('[1]Toda FM'!$H$2:$M$2,1,_xlpm.pos)),"")),"")</f>
        <v>F6</v>
      </c>
      <c r="I47" s="3">
        <f>IFERROR(_xlfn.XLOOKUP(B47,'[1]Toda FM'!$A:$A,'[1]Toda FM'!$R:$R,""),"")</f>
        <v>0</v>
      </c>
      <c r="J47" t="s">
        <v>127</v>
      </c>
    </row>
    <row r="48" spans="1:10" x14ac:dyDescent="0.25">
      <c r="A48" s="9" t="s">
        <v>128</v>
      </c>
      <c r="B48" s="9" t="s">
        <v>91</v>
      </c>
      <c r="C48" s="8">
        <v>69</v>
      </c>
      <c r="D48" s="7">
        <v>62.1</v>
      </c>
      <c r="E48" s="6">
        <f t="shared" si="1"/>
        <v>0</v>
      </c>
      <c r="F48" s="5">
        <v>62.1</v>
      </c>
      <c r="G48" s="4">
        <f>IFERROR(_xlfn.XLOOKUP(B48,'[1]Toda FM'!$A:$A,'[1]Toda FM'!$Q:$Q,""),"")</f>
        <v>0</v>
      </c>
      <c r="H48" s="3" t="str" cm="1">
        <f t="array" ref="H48">IFERROR(_xlfn.LET(_xlpm.rw,MATCH(B48,'[1]Toda FM'!$A:$A,0),_xlpm.vals,INDEX('[1]Toda FM'!$H:$M,_xlpm.rw,0),_xlpm.diffs,ABS(_xlpm.vals-F48),_xlpm.mn,MIN(_xlpm.diffs),_xlpm.pos,MATCH(_xlpm.mn,_xlpm.diffs,0),IF(_xlpm.mn/F48&lt;=0.02,TRIM(INDEX('[1]Toda FM'!$H$2:$M$2,1,_xlpm.pos)),"")),"")</f>
        <v>F8</v>
      </c>
      <c r="I48" s="3">
        <f>IFERROR(_xlfn.XLOOKUP(B48,'[1]Toda FM'!$A:$A,'[1]Toda FM'!$R:$R,""),"")</f>
        <v>0</v>
      </c>
      <c r="J48" t="s">
        <v>127</v>
      </c>
    </row>
    <row r="49" spans="1:10" x14ac:dyDescent="0.25">
      <c r="A49" s="9" t="s">
        <v>128</v>
      </c>
      <c r="B49" s="9" t="s">
        <v>91</v>
      </c>
      <c r="C49" s="8">
        <v>69</v>
      </c>
      <c r="D49" s="7">
        <v>65.55</v>
      </c>
      <c r="E49" s="11">
        <f t="shared" si="1"/>
        <v>0</v>
      </c>
      <c r="F49" s="10">
        <v>65.55</v>
      </c>
      <c r="G49" s="4">
        <f>IFERROR(_xlfn.XLOOKUP(B49,'[1]Toda FM'!$A:$A,'[1]Toda FM'!$Q:$Q,""),"")</f>
        <v>0</v>
      </c>
      <c r="H49" s="3" t="str" cm="1">
        <f t="array" ref="H49">IFERROR(_xlfn.LET(_xlpm.rw,MATCH(B49,'[1]Toda FM'!$A:$A,0),_xlpm.vals,INDEX('[1]Toda FM'!$H:$M,_xlpm.rw,0),_xlpm.diffs,ABS(_xlpm.vals-F49),_xlpm.mn,MIN(_xlpm.diffs),_xlpm.pos,MATCH(_xlpm.mn,_xlpm.diffs,0),IF(_xlpm.mn/F49&lt;=0.02,TRIM(INDEX('[1]Toda FM'!$H$2:$M$2,1,_xlpm.pos)),"")),"")</f>
        <v>F6</v>
      </c>
      <c r="I49" s="3">
        <f>IFERROR(_xlfn.XLOOKUP(B49,'[1]Toda FM'!$A:$A,'[1]Toda FM'!$R:$R,""),"")</f>
        <v>0</v>
      </c>
    </row>
    <row r="50" spans="1:10" x14ac:dyDescent="0.25">
      <c r="A50" s="9" t="s">
        <v>128</v>
      </c>
      <c r="B50" s="9" t="s">
        <v>149</v>
      </c>
      <c r="C50" s="8">
        <v>75.02</v>
      </c>
      <c r="D50" s="7">
        <v>63.2</v>
      </c>
      <c r="E50" s="6">
        <f t="shared" si="1"/>
        <v>2.515822784810132E-2</v>
      </c>
      <c r="F50" s="5">
        <v>64.790000000000006</v>
      </c>
      <c r="G50" s="4">
        <f>IFERROR(_xlfn.XLOOKUP(B50,'[1]Toda FM'!$A:$A,'[1]Toda FM'!$Q:$Q,""),"")</f>
        <v>0.1</v>
      </c>
      <c r="H50" s="3" t="str" cm="1">
        <f t="array" ref="H50">IFERROR(_xlfn.LET(_xlpm.rw,MATCH(B50,'[1]Toda FM'!$A:$A,0),_xlpm.vals,INDEX('[1]Toda FM'!$H:$M,_xlpm.rw,0),_xlpm.diffs,ABS(_xlpm.vals-F50),_xlpm.mn,MIN(_xlpm.diffs),_xlpm.pos,MATCH(_xlpm.mn,_xlpm.diffs,0),IF(_xlpm.mn/F50&lt;=0.02,TRIM(INDEX('[1]Toda FM'!$H$2:$M$2,1,_xlpm.pos)),"")),"")</f>
        <v>F6</v>
      </c>
      <c r="I50" s="3">
        <f>IFERROR(_xlfn.XLOOKUP(B50,'[1]Toda FM'!$A:$A,'[1]Toda FM'!$R:$R,""),"")</f>
        <v>0</v>
      </c>
      <c r="J50" t="s">
        <v>127</v>
      </c>
    </row>
    <row r="51" spans="1:10" x14ac:dyDescent="0.25">
      <c r="A51" s="9" t="s">
        <v>128</v>
      </c>
      <c r="B51" s="9" t="s">
        <v>3</v>
      </c>
      <c r="C51" s="8">
        <v>74.5</v>
      </c>
      <c r="D51" s="7">
        <v>74.010000000000005</v>
      </c>
      <c r="E51" s="11">
        <f t="shared" si="1"/>
        <v>6.6207269287933369E-3</v>
      </c>
      <c r="F51" s="10">
        <v>74.5</v>
      </c>
      <c r="G51" s="4">
        <f>IFERROR(_xlfn.XLOOKUP(B51,'[1]Toda FM'!$A:$A,'[1]Toda FM'!$Q:$Q,""),"")</f>
        <v>0</v>
      </c>
      <c r="H51" s="3" t="str" cm="1">
        <f t="array" ref="H51">IFERROR(_xlfn.LET(_xlpm.rw,MATCH(B51,'[1]Toda FM'!$A:$A,0),_xlpm.vals,INDEX('[1]Toda FM'!$H:$M,_xlpm.rw,0),_xlpm.diffs,ABS(_xlpm.vals-F51),_xlpm.mn,MIN(_xlpm.diffs),_xlpm.pos,MATCH(_xlpm.mn,_xlpm.diffs,0),IF(_xlpm.mn/F51&lt;=0.02,TRIM(INDEX('[1]Toda FM'!$H$2:$M$2,1,_xlpm.pos)),"")),"")</f>
        <v>F5</v>
      </c>
      <c r="I51" s="3">
        <f>IFERROR(_xlfn.XLOOKUP(B51,'[1]Toda FM'!$A:$A,'[1]Toda FM'!$R:$R,""),"")</f>
        <v>0</v>
      </c>
    </row>
    <row r="52" spans="1:10" x14ac:dyDescent="0.25">
      <c r="A52" s="9" t="s">
        <v>128</v>
      </c>
      <c r="B52" s="9" t="s">
        <v>3</v>
      </c>
      <c r="C52" s="8">
        <v>74.5</v>
      </c>
      <c r="D52" s="7">
        <v>66.22</v>
      </c>
      <c r="E52" s="6">
        <f t="shared" si="1"/>
        <v>1.2533977650256694E-2</v>
      </c>
      <c r="F52" s="5">
        <v>67.05</v>
      </c>
      <c r="G52" s="4">
        <f>IFERROR(_xlfn.XLOOKUP(B52,'[1]Toda FM'!$A:$A,'[1]Toda FM'!$Q:$Q,""),"")</f>
        <v>0</v>
      </c>
      <c r="H52" s="3" t="str" cm="1">
        <f t="array" ref="H52">IFERROR(_xlfn.LET(_xlpm.rw,MATCH(B52,'[1]Toda FM'!$A:$A,0),_xlpm.vals,INDEX('[1]Toda FM'!$H:$M,_xlpm.rw,0),_xlpm.diffs,ABS(_xlpm.vals-F52),_xlpm.mn,MIN(_xlpm.diffs),_xlpm.pos,MATCH(_xlpm.mn,_xlpm.diffs,0),IF(_xlpm.mn/F52&lt;=0.02,TRIM(INDEX('[1]Toda FM'!$H$2:$M$2,1,_xlpm.pos)),"")),"")</f>
        <v>F8</v>
      </c>
      <c r="I52" s="3">
        <f>IFERROR(_xlfn.XLOOKUP(B52,'[1]Toda FM'!$A:$A,'[1]Toda FM'!$R:$R,""),"")</f>
        <v>0</v>
      </c>
      <c r="J52" t="s">
        <v>127</v>
      </c>
    </row>
    <row r="53" spans="1:10" x14ac:dyDescent="0.25">
      <c r="A53" s="9" t="s">
        <v>128</v>
      </c>
      <c r="B53" s="9" t="s">
        <v>148</v>
      </c>
      <c r="C53" s="8">
        <v>506.99</v>
      </c>
      <c r="D53" s="7">
        <v>398.05</v>
      </c>
      <c r="E53" s="11">
        <f t="shared" si="1"/>
        <v>0.10001256123602563</v>
      </c>
      <c r="F53" s="10">
        <v>437.86</v>
      </c>
      <c r="G53" s="4">
        <f>IFERROR(_xlfn.XLOOKUP(B53,'[1]Toda FM'!$A:$A,'[1]Toda FM'!$Q:$Q,""),"")</f>
        <v>0.1</v>
      </c>
      <c r="H53" s="3" t="str" cm="1">
        <f t="array" ref="H53">IFERROR(_xlfn.LET(_xlpm.rw,MATCH(B53,'[1]Toda FM'!$A:$A,0),_xlpm.vals,INDEX('[1]Toda FM'!$H:$M,_xlpm.rw,0),_xlpm.diffs,ABS(_xlpm.vals-F53),_xlpm.mn,MIN(_xlpm.diffs),_xlpm.pos,MATCH(_xlpm.mn,_xlpm.diffs,0),IF(_xlpm.mn/F53&lt;=0.02,TRIM(INDEX('[1]Toda FM'!$H$2:$M$2,1,_xlpm.pos)),"")),"")</f>
        <v>F6</v>
      </c>
      <c r="I53" s="3">
        <f>IFERROR(_xlfn.XLOOKUP(B53,'[1]Toda FM'!$A:$A,'[1]Toda FM'!$R:$R,""),"")</f>
        <v>0</v>
      </c>
    </row>
    <row r="54" spans="1:10" x14ac:dyDescent="0.25">
      <c r="A54" s="9" t="s">
        <v>128</v>
      </c>
      <c r="B54" s="9" t="s">
        <v>147</v>
      </c>
      <c r="C54" s="8">
        <v>143.99</v>
      </c>
      <c r="D54" s="7">
        <v>107.1</v>
      </c>
      <c r="E54" s="11">
        <f t="shared" si="1"/>
        <v>0.10000000000000007</v>
      </c>
      <c r="F54" s="10">
        <v>117.81</v>
      </c>
      <c r="G54" s="4">
        <f>IFERROR(_xlfn.XLOOKUP(B54,'[1]Toda FM'!$A:$A,'[1]Toda FM'!$Q:$Q,""),"")</f>
        <v>0.1</v>
      </c>
      <c r="H54" s="3" t="str" cm="1">
        <f t="array" ref="H54">IFERROR(_xlfn.LET(_xlpm.rw,MATCH(B54,'[1]Toda FM'!$A:$A,0),_xlpm.vals,INDEX('[1]Toda FM'!$H:$M,_xlpm.rw,0),_xlpm.diffs,ABS(_xlpm.vals-F54),_xlpm.mn,MIN(_xlpm.diffs),_xlpm.pos,MATCH(_xlpm.mn,_xlpm.diffs,0),IF(_xlpm.mn/F54&lt;=0.02,TRIM(INDEX('[1]Toda FM'!$H$2:$M$2,1,_xlpm.pos)),"")),"")</f>
        <v>F8</v>
      </c>
      <c r="I54" s="3">
        <f>IFERROR(_xlfn.XLOOKUP(B54,'[1]Toda FM'!$A:$A,'[1]Toda FM'!$R:$R,""),"")</f>
        <v>0</v>
      </c>
    </row>
    <row r="55" spans="1:10" x14ac:dyDescent="0.25">
      <c r="A55" s="9" t="s">
        <v>128</v>
      </c>
      <c r="B55" s="9" t="s">
        <v>145</v>
      </c>
      <c r="C55" s="8">
        <v>109.5</v>
      </c>
      <c r="D55" s="7">
        <v>108.06</v>
      </c>
      <c r="E55" s="11">
        <f t="shared" si="1"/>
        <v>3.1926707384786123E-3</v>
      </c>
      <c r="F55" s="10">
        <v>108.405</v>
      </c>
      <c r="G55" s="4">
        <f>IFERROR(_xlfn.XLOOKUP(B55,'[1]Toda FM'!$A:$A,'[1]Toda FM'!$Q:$Q,""),"")</f>
        <v>0</v>
      </c>
      <c r="H55" s="3" t="str" cm="1">
        <f t="array" ref="H55">IFERROR(_xlfn.LET(_xlpm.rw,MATCH(B55,'[1]Toda FM'!$A:$A,0),_xlpm.vals,INDEX('[1]Toda FM'!$H:$M,_xlpm.rw,0),_xlpm.diffs,ABS(_xlpm.vals-F55),_xlpm.mn,MIN(_xlpm.diffs),_xlpm.pos,MATCH(_xlpm.mn,_xlpm.diffs,0),IF(_xlpm.mn/F55&lt;=0.02,TRIM(INDEX('[1]Toda FM'!$H$2:$M$2,1,_xlpm.pos)),"")),"")</f>
        <v>F9</v>
      </c>
      <c r="I55" s="3">
        <f>IFERROR(_xlfn.XLOOKUP(B55,'[1]Toda FM'!$A:$A,'[1]Toda FM'!$R:$R,""),"")</f>
        <v>0</v>
      </c>
      <c r="J55" t="s">
        <v>146</v>
      </c>
    </row>
    <row r="56" spans="1:10" x14ac:dyDescent="0.25">
      <c r="A56" s="9" t="s">
        <v>128</v>
      </c>
      <c r="B56" s="9" t="s">
        <v>145</v>
      </c>
      <c r="C56" s="8">
        <v>109.5</v>
      </c>
      <c r="D56" s="7">
        <v>98.24</v>
      </c>
      <c r="E56" s="11">
        <f t="shared" si="1"/>
        <v>3.1555374592834111E-3</v>
      </c>
      <c r="F56" s="10">
        <v>98.55</v>
      </c>
      <c r="G56" s="4">
        <f>IFERROR(_xlfn.XLOOKUP(B56,'[1]Toda FM'!$A:$A,'[1]Toda FM'!$Q:$Q,""),"")</f>
        <v>0</v>
      </c>
      <c r="H56" s="3" t="str" cm="1">
        <f t="array" ref="H56">IFERROR(_xlfn.LET(_xlpm.rw,MATCH(B56,'[1]Toda FM'!$A:$A,0),_xlpm.vals,INDEX('[1]Toda FM'!$H:$M,_xlpm.rw,0),_xlpm.diffs,ABS(_xlpm.vals-F56),_xlpm.mn,MIN(_xlpm.diffs),_xlpm.pos,MATCH(_xlpm.mn,_xlpm.diffs,0),IF(_xlpm.mn/F56&lt;=0.02,TRIM(INDEX('[1]Toda FM'!$H$2:$M$2,1,_xlpm.pos)),"")),"")</f>
        <v>F8</v>
      </c>
      <c r="I56" s="3">
        <f>IFERROR(_xlfn.XLOOKUP(B56,'[1]Toda FM'!$A:$A,'[1]Toda FM'!$R:$R,""),"")</f>
        <v>0</v>
      </c>
      <c r="J56" t="s">
        <v>144</v>
      </c>
    </row>
    <row r="57" spans="1:10" x14ac:dyDescent="0.25">
      <c r="A57" s="9" t="s">
        <v>128</v>
      </c>
      <c r="B57" s="9" t="s">
        <v>143</v>
      </c>
      <c r="C57" s="8">
        <v>416.84500000000003</v>
      </c>
      <c r="D57" s="7">
        <v>327.27999999999997</v>
      </c>
      <c r="E57" s="6">
        <f t="shared" si="1"/>
        <v>9.9983194817893015E-2</v>
      </c>
      <c r="F57" s="5">
        <v>360.0025</v>
      </c>
      <c r="G57" s="4">
        <f>IFERROR(_xlfn.XLOOKUP(B57,'[1]Toda FM'!$A:$A,'[1]Toda FM'!$Q:$Q,""),"")</f>
        <v>0.1</v>
      </c>
      <c r="H57" s="3" t="str" cm="1">
        <f t="array" ref="H57">IFERROR(_xlfn.LET(_xlpm.rw,MATCH(B57,'[1]Toda FM'!$A:$A,0),_xlpm.vals,INDEX('[1]Toda FM'!$H:$M,_xlpm.rw,0),_xlpm.diffs,ABS(_xlpm.vals-F57),_xlpm.mn,MIN(_xlpm.diffs),_xlpm.pos,MATCH(_xlpm.mn,_xlpm.diffs,0),IF(_xlpm.mn/F57&lt;=0.02,TRIM(INDEX('[1]Toda FM'!$H$2:$M$2,1,_xlpm.pos)),"")),"")</f>
        <v>F6</v>
      </c>
      <c r="I57" s="3">
        <f>IFERROR(_xlfn.XLOOKUP(B57,'[1]Toda FM'!$A:$A,'[1]Toda FM'!$R:$R,""),"")</f>
        <v>0</v>
      </c>
      <c r="J57" t="s">
        <v>127</v>
      </c>
    </row>
    <row r="58" spans="1:10" x14ac:dyDescent="0.25">
      <c r="A58" s="9" t="s">
        <v>128</v>
      </c>
      <c r="B58" s="9" t="s">
        <v>142</v>
      </c>
      <c r="C58" s="8">
        <v>129</v>
      </c>
      <c r="D58" s="7">
        <v>99</v>
      </c>
      <c r="E58" s="11">
        <f t="shared" si="1"/>
        <v>0.10757575757575763</v>
      </c>
      <c r="F58" s="10">
        <v>109.65</v>
      </c>
      <c r="G58" s="4">
        <f>IFERROR(_xlfn.XLOOKUP(B58,'[1]Toda FM'!$A:$A,'[1]Toda FM'!$Q:$Q,""),"")</f>
        <v>0</v>
      </c>
      <c r="H58" s="3" t="str" cm="1">
        <f t="array" ref="H58">IFERROR(_xlfn.LET(_xlpm.rw,MATCH(B58,'[1]Toda FM'!$A:$A,0),_xlpm.vals,INDEX('[1]Toda FM'!$H:$M,_xlpm.rw,0),_xlpm.diffs,ABS(_xlpm.vals-F58),_xlpm.mn,MIN(_xlpm.diffs),_xlpm.pos,MATCH(_xlpm.mn,_xlpm.diffs,0),IF(_xlpm.mn/F58&lt;=0.02,TRIM(INDEX('[1]Toda FM'!$H$2:$M$2,1,_xlpm.pos)),"")),"")</f>
        <v>F10</v>
      </c>
      <c r="I58" s="3">
        <f>IFERROR(_xlfn.XLOOKUP(B58,'[1]Toda FM'!$A:$A,'[1]Toda FM'!$R:$R,""),"")</f>
        <v>0</v>
      </c>
      <c r="J58" t="s">
        <v>141</v>
      </c>
    </row>
    <row r="59" spans="1:10" x14ac:dyDescent="0.25">
      <c r="A59" s="9" t="s">
        <v>128</v>
      </c>
      <c r="B59" s="9" t="s">
        <v>140</v>
      </c>
      <c r="C59" s="8">
        <v>416.84500000000003</v>
      </c>
      <c r="D59" s="7">
        <v>327.27999999999997</v>
      </c>
      <c r="E59" s="6">
        <f t="shared" si="1"/>
        <v>9.9983194817893015E-2</v>
      </c>
      <c r="F59" s="5">
        <v>360.0025</v>
      </c>
      <c r="G59" s="4">
        <f>IFERROR(_xlfn.XLOOKUP(B59,'[1]Toda FM'!$A:$A,'[1]Toda FM'!$Q:$Q,""),"")</f>
        <v>0.1</v>
      </c>
      <c r="H59" s="3" t="str" cm="1">
        <f t="array" ref="H59">IFERROR(_xlfn.LET(_xlpm.rw,MATCH(B59,'[1]Toda FM'!$A:$A,0),_xlpm.vals,INDEX('[1]Toda FM'!$H:$M,_xlpm.rw,0),_xlpm.diffs,ABS(_xlpm.vals-F59),_xlpm.mn,MIN(_xlpm.diffs),_xlpm.pos,MATCH(_xlpm.mn,_xlpm.diffs,0),IF(_xlpm.mn/F59&lt;=0.02,TRIM(INDEX('[1]Toda FM'!$H$2:$M$2,1,_xlpm.pos)),"")),"")</f>
        <v>F6</v>
      </c>
      <c r="I59" s="3">
        <f>IFERROR(_xlfn.XLOOKUP(B59,'[1]Toda FM'!$A:$A,'[1]Toda FM'!$R:$R,""),"")</f>
        <v>0</v>
      </c>
    </row>
    <row r="60" spans="1:10" x14ac:dyDescent="0.25">
      <c r="A60" s="9" t="s">
        <v>128</v>
      </c>
      <c r="B60" s="9" t="s">
        <v>139</v>
      </c>
      <c r="C60" s="8">
        <v>203.47739999999999</v>
      </c>
      <c r="D60" s="7">
        <v>175.33199999999999</v>
      </c>
      <c r="E60" s="11">
        <f t="shared" si="1"/>
        <v>5.0000000000000065E-2</v>
      </c>
      <c r="F60" s="10">
        <v>184.0986</v>
      </c>
      <c r="G60" s="4">
        <f>IFERROR(_xlfn.XLOOKUP(B60,'[1]Toda FM'!$A:$A,'[1]Toda FM'!$Q:$Q,""),"")</f>
        <v>0.05</v>
      </c>
      <c r="H60" s="3" t="str" cm="1">
        <f t="array" ref="H60">IFERROR(_xlfn.LET(_xlpm.rw,MATCH(B60,'[1]Toda FM'!$A:$A,0),_xlpm.vals,INDEX('[1]Toda FM'!$H:$M,_xlpm.rw,0),_xlpm.diffs,ABS(_xlpm.vals-F60),_xlpm.mn,MIN(_xlpm.diffs),_xlpm.pos,MATCH(_xlpm.mn,_xlpm.diffs,0),IF(_xlpm.mn/F60&lt;=0.02,TRIM(INDEX('[1]Toda FM'!$H$2:$M$2,1,_xlpm.pos)),"")),"")</f>
        <v>F6</v>
      </c>
      <c r="I60" s="3" t="str">
        <f>IFERROR(_xlfn.XLOOKUP(B60,'[1]Toda FM'!$A:$A,'[1]Toda FM'!$R:$R,""),"")</f>
        <v>REVOLUTION</v>
      </c>
    </row>
    <row r="61" spans="1:10" x14ac:dyDescent="0.25">
      <c r="A61" s="9" t="s">
        <v>128</v>
      </c>
      <c r="B61" s="9" t="s">
        <v>82</v>
      </c>
      <c r="C61" s="8">
        <v>74</v>
      </c>
      <c r="D61" s="7">
        <v>70.3</v>
      </c>
      <c r="E61" s="11">
        <f t="shared" si="1"/>
        <v>0</v>
      </c>
      <c r="F61" s="10">
        <v>70.3</v>
      </c>
      <c r="G61" s="4">
        <f>IFERROR(_xlfn.XLOOKUP(B61,'[1]Toda FM'!$A:$A,'[1]Toda FM'!$Q:$Q,""),"")</f>
        <v>0</v>
      </c>
      <c r="H61" s="3" t="str" cm="1">
        <f t="array" ref="H61">IFERROR(_xlfn.LET(_xlpm.rw,MATCH(B61,'[1]Toda FM'!$A:$A,0),_xlpm.vals,INDEX('[1]Toda FM'!$H:$M,_xlpm.rw,0),_xlpm.diffs,ABS(_xlpm.vals-F61),_xlpm.mn,MIN(_xlpm.diffs),_xlpm.pos,MATCH(_xlpm.mn,_xlpm.diffs,0),IF(_xlpm.mn/F61&lt;=0.02,TRIM(INDEX('[1]Toda FM'!$H$2:$M$2,1,_xlpm.pos)),"")),"")</f>
        <v>F6</v>
      </c>
      <c r="I61" s="3">
        <f>IFERROR(_xlfn.XLOOKUP(B61,'[1]Toda FM'!$A:$A,'[1]Toda FM'!$R:$R,""),"")</f>
        <v>0</v>
      </c>
    </row>
    <row r="62" spans="1:10" x14ac:dyDescent="0.25">
      <c r="A62" s="9" t="s">
        <v>128</v>
      </c>
      <c r="B62" s="9" t="s">
        <v>62</v>
      </c>
      <c r="C62" s="8">
        <v>208.3725</v>
      </c>
      <c r="D62" s="7">
        <v>170.1</v>
      </c>
      <c r="E62" s="11">
        <f t="shared" si="1"/>
        <v>4.9999999999999975E-2</v>
      </c>
      <c r="F62" s="10">
        <v>178.60499999999999</v>
      </c>
      <c r="G62" s="4">
        <f>IFERROR(_xlfn.XLOOKUP(B62,'[1]Toda FM'!$A:$A,'[1]Toda FM'!$Q:$Q,""),"")</f>
        <v>0.05</v>
      </c>
      <c r="H62" s="3" t="str" cm="1">
        <f t="array" ref="H62">IFERROR(_xlfn.LET(_xlpm.rw,MATCH(B62,'[1]Toda FM'!$A:$A,0),_xlpm.vals,INDEX('[1]Toda FM'!$H:$M,_xlpm.rw,0),_xlpm.diffs,ABS(_xlpm.vals-F62),_xlpm.mn,MIN(_xlpm.diffs),_xlpm.pos,MATCH(_xlpm.mn,_xlpm.diffs,0),IF(_xlpm.mn/F62&lt;=0.02,TRIM(INDEX('[1]Toda FM'!$H$2:$M$2,1,_xlpm.pos)),"")),"")</f>
        <v>F8</v>
      </c>
      <c r="I62" s="3" t="str">
        <f>IFERROR(_xlfn.XLOOKUP(B62,'[1]Toda FM'!$A:$A,'[1]Toda FM'!$R:$R,""),"")</f>
        <v>REVOLUTION</v>
      </c>
    </row>
    <row r="63" spans="1:10" x14ac:dyDescent="0.25">
      <c r="A63" s="9" t="s">
        <v>128</v>
      </c>
      <c r="B63" s="9" t="s">
        <v>138</v>
      </c>
      <c r="C63" s="8">
        <v>472.97250000000003</v>
      </c>
      <c r="D63" s="7">
        <v>407.55</v>
      </c>
      <c r="E63" s="11">
        <f t="shared" si="1"/>
        <v>4.9999999999999996E-2</v>
      </c>
      <c r="F63" s="10">
        <v>427.92750000000001</v>
      </c>
      <c r="G63" s="4">
        <f>IFERROR(_xlfn.XLOOKUP(B63,'[1]Toda FM'!$A:$A,'[1]Toda FM'!$Q:$Q,""),"")</f>
        <v>0.05</v>
      </c>
      <c r="H63" s="3" t="str" cm="1">
        <f t="array" ref="H63">IFERROR(_xlfn.LET(_xlpm.rw,MATCH(B63,'[1]Toda FM'!$A:$A,0),_xlpm.vals,INDEX('[1]Toda FM'!$H:$M,_xlpm.rw,0),_xlpm.diffs,ABS(_xlpm.vals-F63),_xlpm.mn,MIN(_xlpm.diffs),_xlpm.pos,MATCH(_xlpm.mn,_xlpm.diffs,0),IF(_xlpm.mn/F63&lt;=0.02,TRIM(INDEX('[1]Toda FM'!$H$2:$M$2,1,_xlpm.pos)),"")),"")</f>
        <v>F6</v>
      </c>
      <c r="I63" s="3" t="str">
        <f>IFERROR(_xlfn.XLOOKUP(B63,'[1]Toda FM'!$A:$A,'[1]Toda FM'!$R:$R,""),"")</f>
        <v>REVOLUTION</v>
      </c>
    </row>
    <row r="64" spans="1:10" x14ac:dyDescent="0.25">
      <c r="A64" s="9" t="s">
        <v>128</v>
      </c>
      <c r="B64" s="9" t="s">
        <v>137</v>
      </c>
      <c r="C64" s="8">
        <v>434.39</v>
      </c>
      <c r="D64" s="7">
        <v>305.14999999999998</v>
      </c>
      <c r="E64" s="11">
        <f t="shared" si="1"/>
        <v>0.10000000000000014</v>
      </c>
      <c r="F64" s="10">
        <v>335.66500000000002</v>
      </c>
      <c r="G64" s="4">
        <f>IFERROR(_xlfn.XLOOKUP(B64,'[1]Toda FM'!$A:$A,'[1]Toda FM'!$Q:$Q,""),"")</f>
        <v>0.1</v>
      </c>
      <c r="H64" s="3" t="str" cm="1">
        <f t="array" ref="H64">IFERROR(_xlfn.LET(_xlpm.rw,MATCH(B64,'[1]Toda FM'!$A:$A,0),_xlpm.vals,INDEX('[1]Toda FM'!$H:$M,_xlpm.rw,0),_xlpm.diffs,ABS(_xlpm.vals-F64),_xlpm.mn,MIN(_xlpm.diffs),_xlpm.pos,MATCH(_xlpm.mn,_xlpm.diffs,0),IF(_xlpm.mn/F64&lt;=0.02,TRIM(INDEX('[1]Toda FM'!$H$2:$M$2,1,_xlpm.pos)),"")),"")</f>
        <v>F10</v>
      </c>
      <c r="I64" s="3">
        <f>IFERROR(_xlfn.XLOOKUP(B64,'[1]Toda FM'!$A:$A,'[1]Toda FM'!$R:$R,""),"")</f>
        <v>0</v>
      </c>
    </row>
    <row r="65" spans="1:10" x14ac:dyDescent="0.25">
      <c r="A65" s="9" t="s">
        <v>128</v>
      </c>
      <c r="B65" s="9" t="s">
        <v>36</v>
      </c>
      <c r="C65" s="8">
        <v>69</v>
      </c>
      <c r="D65" s="7">
        <v>49.5</v>
      </c>
      <c r="E65" s="38">
        <f t="shared" si="1"/>
        <v>0.10000000000000006</v>
      </c>
      <c r="F65" s="39">
        <v>54.45</v>
      </c>
      <c r="G65" s="4">
        <f>IFERROR(_xlfn.XLOOKUP(B65,'[1]Toda FM'!$A:$A,'[1]Toda FM'!$Q:$Q,""),"")</f>
        <v>0</v>
      </c>
      <c r="H65" s="3" t="str" cm="1">
        <f t="array" ref="H65">IFERROR(_xlfn.LET(_xlpm.rw,MATCH(B65,'[1]Toda FM'!$A:$A,0),_xlpm.vals,INDEX('[1]Toda FM'!$H:$M,_xlpm.rw,0),_xlpm.diffs,ABS(_xlpm.vals-F65),_xlpm.mn,MIN(_xlpm.diffs),_xlpm.pos,MATCH(_xlpm.mn,_xlpm.diffs,0),IF(_xlpm.mn/F65&lt;=0.02,TRIM(INDEX('[1]Toda FM'!$H$2:$M$2,1,_xlpm.pos)),"")),"")</f>
        <v/>
      </c>
      <c r="I65" s="3">
        <f>IFERROR(_xlfn.XLOOKUP(B65,'[1]Toda FM'!$A:$A,'[1]Toda FM'!$R:$R,""),"")</f>
        <v>0</v>
      </c>
    </row>
    <row r="66" spans="1:10" x14ac:dyDescent="0.25">
      <c r="A66" s="9" t="s">
        <v>128</v>
      </c>
      <c r="B66" s="9" t="s">
        <v>136</v>
      </c>
      <c r="C66" s="8">
        <v>361.79</v>
      </c>
      <c r="D66" s="7">
        <v>284.05</v>
      </c>
      <c r="E66" s="6">
        <f t="shared" si="1"/>
        <v>9.9999999999999895E-2</v>
      </c>
      <c r="F66" s="5">
        <v>312.45499999999998</v>
      </c>
      <c r="G66" s="4">
        <f>IFERROR(_xlfn.XLOOKUP(B66,'[1]Toda FM'!$A:$A,'[1]Toda FM'!$Q:$Q,""),"")</f>
        <v>0.1</v>
      </c>
      <c r="H66" s="3" t="str" cm="1">
        <f t="array" ref="H66">IFERROR(_xlfn.LET(_xlpm.rw,MATCH(B66,'[1]Toda FM'!$A:$A,0),_xlpm.vals,INDEX('[1]Toda FM'!$H:$M,_xlpm.rw,0),_xlpm.diffs,ABS(_xlpm.vals-F66),_xlpm.mn,MIN(_xlpm.diffs),_xlpm.pos,MATCH(_xlpm.mn,_xlpm.diffs,0),IF(_xlpm.mn/F66&lt;=0.02,TRIM(INDEX('[1]Toda FM'!$H$2:$M$2,1,_xlpm.pos)),"")),"")</f>
        <v>F6</v>
      </c>
      <c r="I66" s="3">
        <f>IFERROR(_xlfn.XLOOKUP(B66,'[1]Toda FM'!$A:$A,'[1]Toda FM'!$R:$R,""),"")</f>
        <v>0</v>
      </c>
      <c r="J66" t="s">
        <v>127</v>
      </c>
    </row>
    <row r="67" spans="1:10" x14ac:dyDescent="0.25">
      <c r="A67" s="9" t="s">
        <v>128</v>
      </c>
      <c r="B67" s="9" t="s">
        <v>135</v>
      </c>
      <c r="C67" s="8">
        <v>429.12607500000001</v>
      </c>
      <c r="D67" s="7">
        <v>369.77</v>
      </c>
      <c r="E67" s="6">
        <f t="shared" ref="E67:E97" si="2">IFERROR((F67-D67)/D67,"")</f>
        <v>4.9995740595505433E-2</v>
      </c>
      <c r="F67" s="5">
        <v>388.25692500000002</v>
      </c>
      <c r="G67" s="4">
        <f>IFERROR(_xlfn.XLOOKUP(B67,'[1]Toda FM'!$A:$A,'[1]Toda FM'!$Q:$Q,""),"")</f>
        <v>0.05</v>
      </c>
      <c r="H67" s="3" t="str" cm="1">
        <f t="array" ref="H67">IFERROR(_xlfn.LET(_xlpm.rw,MATCH(B67,'[1]Toda FM'!$A:$A,0),_xlpm.vals,INDEX('[1]Toda FM'!$H:$M,_xlpm.rw,0),_xlpm.diffs,ABS(_xlpm.vals-F67),_xlpm.mn,MIN(_xlpm.diffs),_xlpm.pos,MATCH(_xlpm.mn,_xlpm.diffs,0),IF(_xlpm.mn/F67&lt;=0.02,TRIM(INDEX('[1]Toda FM'!$H$2:$M$2,1,_xlpm.pos)),"")),"")</f>
        <v>F6</v>
      </c>
      <c r="I67" s="3" t="str">
        <f>IFERROR(_xlfn.XLOOKUP(B67,'[1]Toda FM'!$A:$A,'[1]Toda FM'!$R:$R,""),"")</f>
        <v>REVOLUTION</v>
      </c>
      <c r="J67" t="s">
        <v>127</v>
      </c>
    </row>
    <row r="68" spans="1:10" x14ac:dyDescent="0.25">
      <c r="A68" s="9" t="s">
        <v>128</v>
      </c>
      <c r="B68" s="9" t="s">
        <v>134</v>
      </c>
      <c r="C68" s="8">
        <v>349.69</v>
      </c>
      <c r="D68" s="7">
        <v>274.55</v>
      </c>
      <c r="E68" s="11">
        <f t="shared" si="2"/>
        <v>9.9999999999999936E-2</v>
      </c>
      <c r="F68" s="10">
        <v>302.005</v>
      </c>
      <c r="G68" s="4">
        <f>IFERROR(_xlfn.XLOOKUP(B68,'[1]Toda FM'!$A:$A,'[1]Toda FM'!$Q:$Q,""),"")</f>
        <v>0.1</v>
      </c>
      <c r="H68" s="3" t="str" cm="1">
        <f t="array" ref="H68">IFERROR(_xlfn.LET(_xlpm.rw,MATCH(B68,'[1]Toda FM'!$A:$A,0),_xlpm.vals,INDEX('[1]Toda FM'!$H:$M,_xlpm.rw,0),_xlpm.diffs,ABS(_xlpm.vals-F68),_xlpm.mn,MIN(_xlpm.diffs),_xlpm.pos,MATCH(_xlpm.mn,_xlpm.diffs,0),IF(_xlpm.mn/F68&lt;=0.02,TRIM(INDEX('[1]Toda FM'!$H$2:$M$2,1,_xlpm.pos)),"")),"")</f>
        <v>F6</v>
      </c>
      <c r="I68" s="3">
        <f>IFERROR(_xlfn.XLOOKUP(B68,'[1]Toda FM'!$A:$A,'[1]Toda FM'!$R:$R,""),"")</f>
        <v>0</v>
      </c>
    </row>
    <row r="69" spans="1:10" x14ac:dyDescent="0.25">
      <c r="A69" s="9" t="s">
        <v>128</v>
      </c>
      <c r="B69" s="9" t="s">
        <v>133</v>
      </c>
      <c r="C69" s="8">
        <v>115.21125000000001</v>
      </c>
      <c r="D69" s="7">
        <v>99.28</v>
      </c>
      <c r="E69" s="6">
        <f t="shared" si="2"/>
        <v>4.9947119258662319E-2</v>
      </c>
      <c r="F69" s="5">
        <v>104.23875</v>
      </c>
      <c r="G69" s="4">
        <f>IFERROR(_xlfn.XLOOKUP(B69,'[1]Toda FM'!$A:$A,'[1]Toda FM'!$Q:$Q,""),"")</f>
        <v>0.05</v>
      </c>
      <c r="H69" s="3" t="str" cm="1">
        <f t="array" ref="H69">IFERROR(_xlfn.LET(_xlpm.rw,MATCH(B69,'[1]Toda FM'!$A:$A,0),_xlpm.vals,INDEX('[1]Toda FM'!$H:$M,_xlpm.rw,0),_xlpm.diffs,ABS(_xlpm.vals-F69),_xlpm.mn,MIN(_xlpm.diffs),_xlpm.pos,MATCH(_xlpm.mn,_xlpm.diffs,0),IF(_xlpm.mn/F69&lt;=0.02,TRIM(INDEX('[1]Toda FM'!$H$2:$M$2,1,_xlpm.pos)),"")),"")</f>
        <v>F6</v>
      </c>
      <c r="I69" s="3">
        <f>IFERROR(_xlfn.XLOOKUP(B69,'[1]Toda FM'!$A:$A,'[1]Toda FM'!$R:$R,""),"")</f>
        <v>0</v>
      </c>
    </row>
    <row r="70" spans="1:10" x14ac:dyDescent="0.25">
      <c r="A70" s="9" t="s">
        <v>128</v>
      </c>
      <c r="B70" s="9" t="s">
        <v>132</v>
      </c>
      <c r="C70" s="8">
        <v>131.88999999999999</v>
      </c>
      <c r="D70" s="7">
        <v>98.1</v>
      </c>
      <c r="E70" s="11">
        <f t="shared" si="2"/>
        <v>0.10000000000000003</v>
      </c>
      <c r="F70" s="10">
        <v>107.91</v>
      </c>
      <c r="G70" s="4">
        <f>IFERROR(_xlfn.XLOOKUP(B70,'[1]Toda FM'!$A:$A,'[1]Toda FM'!$Q:$Q,""),"")</f>
        <v>0.1</v>
      </c>
      <c r="H70" s="3" t="str" cm="1">
        <f t="array" ref="H70">IFERROR(_xlfn.LET(_xlpm.rw,MATCH(B70,'[1]Toda FM'!$A:$A,0),_xlpm.vals,INDEX('[1]Toda FM'!$H:$M,_xlpm.rw,0),_xlpm.diffs,ABS(_xlpm.vals-F70),_xlpm.mn,MIN(_xlpm.diffs),_xlpm.pos,MATCH(_xlpm.mn,_xlpm.diffs,0),IF(_xlpm.mn/F70&lt;=0.02,TRIM(INDEX('[1]Toda FM'!$H$2:$M$2,1,_xlpm.pos)),"")),"")</f>
        <v>F8</v>
      </c>
      <c r="I70" s="3">
        <f>IFERROR(_xlfn.XLOOKUP(B70,'[1]Toda FM'!$A:$A,'[1]Toda FM'!$R:$R,""),"")</f>
        <v>0</v>
      </c>
    </row>
    <row r="71" spans="1:10" x14ac:dyDescent="0.25">
      <c r="A71" s="9" t="s">
        <v>128</v>
      </c>
      <c r="B71" s="9" t="s">
        <v>131</v>
      </c>
      <c r="C71" s="8">
        <v>99.22</v>
      </c>
      <c r="D71" s="7">
        <v>73.8</v>
      </c>
      <c r="E71" s="11">
        <f t="shared" si="2"/>
        <v>0.10000000000000013</v>
      </c>
      <c r="F71" s="10">
        <v>81.180000000000007</v>
      </c>
      <c r="G71" s="4">
        <f>IFERROR(_xlfn.XLOOKUP(B71,'[1]Toda FM'!$A:$A,'[1]Toda FM'!$Q:$Q,""),"")</f>
        <v>0.1</v>
      </c>
      <c r="H71" s="3" t="str" cm="1">
        <f t="array" ref="H71">IFERROR(_xlfn.LET(_xlpm.rw,MATCH(B71,'[1]Toda FM'!$A:$A,0),_xlpm.vals,INDEX('[1]Toda FM'!$H:$M,_xlpm.rw,0),_xlpm.diffs,ABS(_xlpm.vals-F71),_xlpm.mn,MIN(_xlpm.diffs),_xlpm.pos,MATCH(_xlpm.mn,_xlpm.diffs,0),IF(_xlpm.mn/F71&lt;=0.02,TRIM(INDEX('[1]Toda FM'!$H$2:$M$2,1,_xlpm.pos)),"")),"")</f>
        <v>F8</v>
      </c>
      <c r="I71" s="3">
        <f>IFERROR(_xlfn.XLOOKUP(B71,'[1]Toda FM'!$A:$A,'[1]Toda FM'!$R:$R,""),"")</f>
        <v>0</v>
      </c>
    </row>
    <row r="72" spans="1:10" x14ac:dyDescent="0.25">
      <c r="A72" s="9" t="s">
        <v>128</v>
      </c>
      <c r="B72" s="9" t="s">
        <v>130</v>
      </c>
      <c r="C72" s="8">
        <v>422.29</v>
      </c>
      <c r="D72" s="7">
        <v>331.55</v>
      </c>
      <c r="E72" s="11">
        <f t="shared" si="2"/>
        <v>9.9999999999999908E-2</v>
      </c>
      <c r="F72" s="10">
        <v>364.70499999999998</v>
      </c>
      <c r="G72" s="4">
        <f>IFERROR(_xlfn.XLOOKUP(B72,'[1]Toda FM'!$A:$A,'[1]Toda FM'!$Q:$Q,""),"")</f>
        <v>0.1</v>
      </c>
      <c r="H72" s="3" t="str" cm="1">
        <f t="array" ref="H72">IFERROR(_xlfn.LET(_xlpm.rw,MATCH(B72,'[1]Toda FM'!$A:$A,0),_xlpm.vals,INDEX('[1]Toda FM'!$H:$M,_xlpm.rw,0),_xlpm.diffs,ABS(_xlpm.vals-F72),_xlpm.mn,MIN(_xlpm.diffs),_xlpm.pos,MATCH(_xlpm.mn,_xlpm.diffs,0),IF(_xlpm.mn/F72&lt;=0.02,TRIM(INDEX('[1]Toda FM'!$H$2:$M$2,1,_xlpm.pos)),"")),"")</f>
        <v>F6</v>
      </c>
      <c r="I72" s="3">
        <f>IFERROR(_xlfn.XLOOKUP(B72,'[1]Toda FM'!$A:$A,'[1]Toda FM'!$R:$R,""),"")</f>
        <v>0</v>
      </c>
    </row>
    <row r="73" spans="1:10" x14ac:dyDescent="0.25">
      <c r="A73" s="9" t="s">
        <v>128</v>
      </c>
      <c r="B73" s="9" t="s">
        <v>2</v>
      </c>
      <c r="C73" s="8">
        <v>82.136250000000004</v>
      </c>
      <c r="D73" s="7">
        <v>64.22</v>
      </c>
      <c r="E73" s="6">
        <f t="shared" si="2"/>
        <v>3.534724384926808E-2</v>
      </c>
      <c r="F73" s="5">
        <v>66.489999999999995</v>
      </c>
      <c r="G73" s="4">
        <f>IFERROR(_xlfn.XLOOKUP(B73,'[1]Toda FM'!$A:$A,'[1]Toda FM'!$Q:$Q,""),"")</f>
        <v>0.05</v>
      </c>
      <c r="H73" s="3" t="str" cm="1">
        <f t="array" ref="H73">IFERROR(_xlfn.LET(_xlpm.rw,MATCH(B73,'[1]Toda FM'!$A:$A,0),_xlpm.vals,INDEX('[1]Toda FM'!$H:$M,_xlpm.rw,0),_xlpm.diffs,ABS(_xlpm.vals-F73),_xlpm.mn,MIN(_xlpm.diffs),_xlpm.pos,MATCH(_xlpm.mn,_xlpm.diffs,0),IF(_xlpm.mn/F73&lt;=0.02,TRIM(INDEX('[1]Toda FM'!$H$2:$M$2,1,_xlpm.pos)),"")),"")</f>
        <v>F10</v>
      </c>
      <c r="I73" s="3">
        <f>IFERROR(_xlfn.XLOOKUP(B73,'[1]Toda FM'!$A:$A,'[1]Toda FM'!$R:$R,""),"")</f>
        <v>0</v>
      </c>
      <c r="J73" t="s">
        <v>127</v>
      </c>
    </row>
    <row r="74" spans="1:10" x14ac:dyDescent="0.25">
      <c r="A74" s="9" t="s">
        <v>128</v>
      </c>
      <c r="B74" s="9" t="s">
        <v>44</v>
      </c>
      <c r="C74" s="8">
        <v>81.584999999999994</v>
      </c>
      <c r="D74" s="7">
        <v>66.599999999999994</v>
      </c>
      <c r="E74" s="11">
        <f t="shared" si="2"/>
        <v>5.000000000000019E-2</v>
      </c>
      <c r="F74" s="10">
        <v>69.930000000000007</v>
      </c>
      <c r="G74" s="4">
        <f>IFERROR(_xlfn.XLOOKUP(B74,'[1]Toda FM'!$A:$A,'[1]Toda FM'!$Q:$Q,""),"")</f>
        <v>0.05</v>
      </c>
      <c r="H74" s="3" t="str" cm="1">
        <f t="array" ref="H74">IFERROR(_xlfn.LET(_xlpm.rw,MATCH(B74,'[1]Toda FM'!$A:$A,0),_xlpm.vals,INDEX('[1]Toda FM'!$H:$M,_xlpm.rw,0),_xlpm.diffs,ABS(_xlpm.vals-F74),_xlpm.mn,MIN(_xlpm.diffs),_xlpm.pos,MATCH(_xlpm.mn,_xlpm.diffs,0),IF(_xlpm.mn/F74&lt;=0.02,TRIM(INDEX('[1]Toda FM'!$H$2:$M$2,1,_xlpm.pos)),"")),"")</f>
        <v>F8</v>
      </c>
      <c r="I74" s="3">
        <f>IFERROR(_xlfn.XLOOKUP(B74,'[1]Toda FM'!$A:$A,'[1]Toda FM'!$R:$R,""),"")</f>
        <v>0</v>
      </c>
    </row>
    <row r="75" spans="1:10" x14ac:dyDescent="0.25">
      <c r="A75" s="9" t="s">
        <v>128</v>
      </c>
      <c r="B75" s="9" t="s">
        <v>129</v>
      </c>
      <c r="C75" s="8">
        <v>483.9975</v>
      </c>
      <c r="D75" s="7">
        <v>417.05</v>
      </c>
      <c r="E75" s="6">
        <f t="shared" si="2"/>
        <v>4.9999999999999913E-2</v>
      </c>
      <c r="F75" s="5">
        <v>437.90249999999997</v>
      </c>
      <c r="G75" s="4">
        <f>IFERROR(_xlfn.XLOOKUP(B75,'[1]Toda FM'!$A:$A,'[1]Toda FM'!$Q:$Q,""),"")</f>
        <v>0.05</v>
      </c>
      <c r="H75" s="3" t="str" cm="1">
        <f t="array" ref="H75">IFERROR(_xlfn.LET(_xlpm.rw,MATCH(B75,'[1]Toda FM'!$A:$A,0),_xlpm.vals,INDEX('[1]Toda FM'!$H:$M,_xlpm.rw,0),_xlpm.diffs,ABS(_xlpm.vals-F75),_xlpm.mn,MIN(_xlpm.diffs),_xlpm.pos,MATCH(_xlpm.mn,_xlpm.diffs,0),IF(_xlpm.mn/F75&lt;=0.02,TRIM(INDEX('[1]Toda FM'!$H$2:$M$2,1,_xlpm.pos)),"")),"")</f>
        <v>F6</v>
      </c>
      <c r="I75" s="3" t="str">
        <f>IFERROR(_xlfn.XLOOKUP(B75,'[1]Toda FM'!$A:$A,'[1]Toda FM'!$R:$R,""),"")</f>
        <v>REVOLUTION</v>
      </c>
      <c r="J75" t="s">
        <v>127</v>
      </c>
    </row>
    <row r="76" spans="1:10" x14ac:dyDescent="0.25">
      <c r="A76" s="9" t="s">
        <v>126</v>
      </c>
      <c r="B76" s="9" t="s">
        <v>4</v>
      </c>
      <c r="C76" s="8">
        <v>132.495</v>
      </c>
      <c r="D76" s="7">
        <v>95.05</v>
      </c>
      <c r="E76" s="26">
        <f t="shared" si="2"/>
        <v>7.7117306680694359E-2</v>
      </c>
      <c r="F76" s="25">
        <v>102.38</v>
      </c>
      <c r="G76" s="4">
        <f>IFERROR(_xlfn.XLOOKUP(B76,'[1]Toda FM'!$A:$A,'[1]Toda FM'!$Q:$Q,""),"")</f>
        <v>0.1</v>
      </c>
      <c r="H76" s="3" t="str" cm="1">
        <f t="array" ref="H76">IFERROR(_xlfn.LET(_xlpm.rw,MATCH(B76,'[1]Toda FM'!$A:$A,0),_xlpm.vals,INDEX('[1]Toda FM'!$H:$M,_xlpm.rw,0),_xlpm.diffs,ABS(_xlpm.vals-F76),_xlpm.mn,MIN(_xlpm.diffs),_xlpm.pos,MATCH(_xlpm.mn,_xlpm.diffs,0),IF(_xlpm.mn/F76&lt;=0.02,TRIM(INDEX('[1]Toda FM'!$H$2:$M$2,1,_xlpm.pos)),"")),"")</f>
        <v>F10</v>
      </c>
      <c r="I76" s="3">
        <f>IFERROR(_xlfn.XLOOKUP(B76,'[1]Toda FM'!$A:$A,'[1]Toda FM'!$R:$R,""),"")</f>
        <v>0</v>
      </c>
    </row>
    <row r="77" spans="1:10" x14ac:dyDescent="0.25">
      <c r="A77" s="9" t="s">
        <v>124</v>
      </c>
      <c r="B77" s="9" t="s">
        <v>125</v>
      </c>
      <c r="C77" s="8">
        <v>141.7878</v>
      </c>
      <c r="D77" s="7">
        <v>103.55</v>
      </c>
      <c r="E77" s="11">
        <f t="shared" si="2"/>
        <v>0.12032834379526806</v>
      </c>
      <c r="F77" s="10">
        <v>116.01</v>
      </c>
      <c r="G77" s="4">
        <f>IFERROR(_xlfn.XLOOKUP(B77,'[1]Toda FM'!$A:$A,'[1]Toda FM'!$Q:$Q,""),"")</f>
        <v>0.1</v>
      </c>
      <c r="H77" s="3" t="str" cm="1">
        <f t="array" ref="H77">IFERROR(_xlfn.LET(_xlpm.rw,MATCH(B77,'[1]Toda FM'!$A:$A,0),_xlpm.vals,INDEX('[1]Toda FM'!$H:$M,_xlpm.rw,0),_xlpm.diffs,ABS(_xlpm.vals-F77),_xlpm.mn,MIN(_xlpm.diffs),_xlpm.pos,MATCH(_xlpm.mn,_xlpm.diffs,0),IF(_xlpm.mn/F77&lt;=0.02,TRIM(INDEX('[1]Toda FM'!$H$2:$M$2,1,_xlpm.pos)),"")),"")</f>
        <v>F8</v>
      </c>
      <c r="I77" s="3" t="str">
        <f>IFERROR(_xlfn.XLOOKUP(B77,'[1]Toda FM'!$A:$A,'[1]Toda FM'!$R:$R,""),"")</f>
        <v>LONG LIFE
FEB 2026</v>
      </c>
    </row>
    <row r="78" spans="1:10" x14ac:dyDescent="0.25">
      <c r="A78" s="9" t="s">
        <v>124</v>
      </c>
      <c r="B78" s="9" t="s">
        <v>4</v>
      </c>
      <c r="C78" s="8">
        <v>132.495</v>
      </c>
      <c r="D78" s="7">
        <v>106.929</v>
      </c>
      <c r="E78" s="11">
        <f t="shared" si="2"/>
        <v>7.0149351438805227E-2</v>
      </c>
      <c r="F78" s="10">
        <v>114.43</v>
      </c>
      <c r="G78" s="4">
        <f>IFERROR(_xlfn.XLOOKUP(B78,'[1]Toda FM'!$A:$A,'[1]Toda FM'!$Q:$Q,""),"")</f>
        <v>0.1</v>
      </c>
      <c r="H78" s="3" t="str" cm="1">
        <f t="array" ref="H78">IFERROR(_xlfn.LET(_xlpm.rw,MATCH(B78,'[1]Toda FM'!$A:$A,0),_xlpm.vals,INDEX('[1]Toda FM'!$H:$M,_xlpm.rw,0),_xlpm.diffs,ABS(_xlpm.vals-F78),_xlpm.mn,MIN(_xlpm.diffs),_xlpm.pos,MATCH(_xlpm.mn,_xlpm.diffs,0),IF(_xlpm.mn/F78&lt;=0.02,TRIM(INDEX('[1]Toda FM'!$H$2:$M$2,1,_xlpm.pos)),"")),"")</f>
        <v>F6</v>
      </c>
      <c r="I78" s="3">
        <f>IFERROR(_xlfn.XLOOKUP(B78,'[1]Toda FM'!$A:$A,'[1]Toda FM'!$R:$R,""),"")</f>
        <v>0</v>
      </c>
    </row>
    <row r="79" spans="1:10" x14ac:dyDescent="0.25">
      <c r="A79" s="9" t="s">
        <v>124</v>
      </c>
      <c r="B79" s="9" t="s">
        <v>123</v>
      </c>
      <c r="C79" s="8">
        <v>113.74</v>
      </c>
      <c r="D79" s="7">
        <v>94</v>
      </c>
      <c r="E79" s="11">
        <f t="shared" si="2"/>
        <v>4.500000000000004E-2</v>
      </c>
      <c r="F79" s="10">
        <v>98.23</v>
      </c>
      <c r="G79" s="4">
        <f>IFERROR(_xlfn.XLOOKUP(B79,'[1]Toda FM'!$A:$A,'[1]Toda FM'!$Q:$Q,""),"")</f>
        <v>0.1</v>
      </c>
      <c r="H79" s="3" t="str" cm="1">
        <f t="array" ref="H79">IFERROR(_xlfn.LET(_xlpm.rw,MATCH(B79,'[1]Toda FM'!$A:$A,0),_xlpm.vals,INDEX('[1]Toda FM'!$H:$M,_xlpm.rw,0),_xlpm.diffs,ABS(_xlpm.vals-F79),_xlpm.mn,MIN(_xlpm.diffs),_xlpm.pos,MATCH(_xlpm.mn,_xlpm.diffs,0),IF(_xlpm.mn/F79&lt;=0.02,TRIM(INDEX('[1]Toda FM'!$H$2:$M$2,1,_xlpm.pos)),"")),"")</f>
        <v>F6</v>
      </c>
      <c r="I79" s="3" t="str">
        <f>IFERROR(_xlfn.XLOOKUP(B79,'[1]Toda FM'!$A:$A,'[1]Toda FM'!$R:$R,""),"")</f>
        <v>LONG LIFE
FEB 2026</v>
      </c>
    </row>
    <row r="80" spans="1:10" x14ac:dyDescent="0.25">
      <c r="A80" s="9" t="s">
        <v>121</v>
      </c>
      <c r="B80" s="9" t="s">
        <v>122</v>
      </c>
      <c r="C80" s="8">
        <v>85.05</v>
      </c>
      <c r="D80" s="7">
        <v>80.8</v>
      </c>
      <c r="E80" s="11">
        <f t="shared" si="2"/>
        <v>0</v>
      </c>
      <c r="F80" s="10">
        <v>80.8</v>
      </c>
      <c r="G80" s="4">
        <f>IFERROR(_xlfn.XLOOKUP(B80,'[1]Toda FM'!$A:$A,'[1]Toda FM'!$Q:$Q,""),"")</f>
        <v>0</v>
      </c>
      <c r="H80" s="3" t="str" cm="1">
        <f t="array" ref="H80">IFERROR(_xlfn.LET(_xlpm.rw,MATCH(B80,'[1]Toda FM'!$A:$A,0),_xlpm.vals,INDEX('[1]Toda FM'!$H:$M,_xlpm.rw,0),_xlpm.diffs,ABS(_xlpm.vals-F80),_xlpm.mn,MIN(_xlpm.diffs),_xlpm.pos,MATCH(_xlpm.mn,_xlpm.diffs,0),IF(_xlpm.mn/F80&lt;=0.02,TRIM(INDEX('[1]Toda FM'!$H$2:$M$2,1,_xlpm.pos)),"")),"")</f>
        <v>F6</v>
      </c>
      <c r="I80" s="3" t="str">
        <f>IFERROR(_xlfn.XLOOKUP(B80,'[1]Toda FM'!$A:$A,'[1]Toda FM'!$R:$R,""),"")</f>
        <v>WATER 
REPELLENT</v>
      </c>
    </row>
    <row r="81" spans="1:9" x14ac:dyDescent="0.25">
      <c r="A81" s="9" t="s">
        <v>121</v>
      </c>
      <c r="B81" s="9" t="s">
        <v>111</v>
      </c>
      <c r="C81" s="8">
        <v>84.5</v>
      </c>
      <c r="D81" s="7">
        <v>76.05</v>
      </c>
      <c r="E81" s="11">
        <f t="shared" si="2"/>
        <v>5.5621301775147985E-2</v>
      </c>
      <c r="F81" s="10">
        <v>80.28</v>
      </c>
      <c r="G81" s="4">
        <f>IFERROR(_xlfn.XLOOKUP(B81,'[1]Toda FM'!$A:$A,'[1]Toda FM'!$Q:$Q,""),"")</f>
        <v>0</v>
      </c>
      <c r="H81" s="3" t="str" cm="1">
        <f t="array" ref="H81">IFERROR(_xlfn.LET(_xlpm.rw,MATCH(B81,'[1]Toda FM'!$A:$A,0),_xlpm.vals,INDEX('[1]Toda FM'!$H:$M,_xlpm.rw,0),_xlpm.diffs,ABS(_xlpm.vals-F81),_xlpm.mn,MIN(_xlpm.diffs),_xlpm.pos,MATCH(_xlpm.mn,_xlpm.diffs,0),IF(_xlpm.mn/F81&lt;=0.02,TRIM(INDEX('[1]Toda FM'!$H$2:$M$2,1,_xlpm.pos)),"")),"")</f>
        <v>F6</v>
      </c>
      <c r="I81" s="3">
        <f>IFERROR(_xlfn.XLOOKUP(B81,'[1]Toda FM'!$A:$A,'[1]Toda FM'!$R:$R,""),"")</f>
        <v>0</v>
      </c>
    </row>
    <row r="82" spans="1:9" x14ac:dyDescent="0.25">
      <c r="A82" s="9" t="s">
        <v>121</v>
      </c>
      <c r="B82" s="9" t="s">
        <v>4</v>
      </c>
      <c r="C82" s="8">
        <v>132.495</v>
      </c>
      <c r="D82" s="7">
        <v>104.03</v>
      </c>
      <c r="E82" s="11">
        <f t="shared" si="2"/>
        <v>9.994713063539358E-2</v>
      </c>
      <c r="F82" s="10">
        <v>114.42749999999999</v>
      </c>
      <c r="G82" s="4">
        <f>IFERROR(_xlfn.XLOOKUP(B82,'[1]Toda FM'!$A:$A,'[1]Toda FM'!$Q:$Q,""),"")</f>
        <v>0.1</v>
      </c>
      <c r="H82" s="3" t="str" cm="1">
        <f t="array" ref="H82">IFERROR(_xlfn.LET(_xlpm.rw,MATCH(B82,'[1]Toda FM'!$A:$A,0),_xlpm.vals,INDEX('[1]Toda FM'!$H:$M,_xlpm.rw,0),_xlpm.diffs,ABS(_xlpm.vals-F82),_xlpm.mn,MIN(_xlpm.diffs),_xlpm.pos,MATCH(_xlpm.mn,_xlpm.diffs,0),IF(_xlpm.mn/F82&lt;=0.02,TRIM(INDEX('[1]Toda FM'!$H$2:$M$2,1,_xlpm.pos)),"")),"")</f>
        <v>F6</v>
      </c>
      <c r="I82" s="3">
        <f>IFERROR(_xlfn.XLOOKUP(B82,'[1]Toda FM'!$A:$A,'[1]Toda FM'!$R:$R,""),"")</f>
        <v>0</v>
      </c>
    </row>
    <row r="83" spans="1:9" x14ac:dyDescent="0.25">
      <c r="A83" s="9" t="s">
        <v>121</v>
      </c>
      <c r="B83" s="9" t="s">
        <v>120</v>
      </c>
      <c r="C83" s="8">
        <v>115.56</v>
      </c>
      <c r="D83" s="7">
        <v>96.75</v>
      </c>
      <c r="E83" s="11">
        <f t="shared" si="2"/>
        <v>1.5297157622739059E-2</v>
      </c>
      <c r="F83" s="10">
        <v>98.23</v>
      </c>
      <c r="G83" s="4">
        <f>IFERROR(_xlfn.XLOOKUP(B83,'[1]Toda FM'!$A:$A,'[1]Toda FM'!$Q:$Q,""),"")</f>
        <v>0</v>
      </c>
      <c r="H83" s="3" t="str" cm="1">
        <f t="array" ref="H83">IFERROR(_xlfn.LET(_xlpm.rw,MATCH(B83,'[1]Toda FM'!$A:$A,0),_xlpm.vals,INDEX('[1]Toda FM'!$H:$M,_xlpm.rw,0),_xlpm.diffs,ABS(_xlpm.vals-F83),_xlpm.mn,MIN(_xlpm.diffs),_xlpm.pos,MATCH(_xlpm.mn,_xlpm.diffs,0),IF(_xlpm.mn/F83&lt;=0.02,TRIM(INDEX('[1]Toda FM'!$H$2:$M$2,1,_xlpm.pos)),"")),"")</f>
        <v>F10</v>
      </c>
      <c r="I83" s="3">
        <f>IFERROR(_xlfn.XLOOKUP(B83,'[1]Toda FM'!$A:$A,'[1]Toda FM'!$R:$R,""),"")</f>
        <v>0</v>
      </c>
    </row>
    <row r="84" spans="1:9" x14ac:dyDescent="0.25">
      <c r="A84" s="9" t="s">
        <v>103</v>
      </c>
      <c r="B84" s="9" t="s">
        <v>119</v>
      </c>
      <c r="C84" s="8">
        <v>69</v>
      </c>
      <c r="D84" s="7">
        <v>65.55</v>
      </c>
      <c r="E84" s="11">
        <f t="shared" si="2"/>
        <v>0</v>
      </c>
      <c r="F84" s="10">
        <v>65.55</v>
      </c>
      <c r="G84" s="4">
        <f>IFERROR(_xlfn.XLOOKUP(B84,'[1]Toda FM'!$A:$A,'[1]Toda FM'!$Q:$Q,""),"")</f>
        <v>0</v>
      </c>
      <c r="H84" s="3" t="str" cm="1">
        <f t="array" ref="H84">IFERROR(_xlfn.LET(_xlpm.rw,MATCH(B84,'[1]Toda FM'!$A:$A,0),_xlpm.vals,INDEX('[1]Toda FM'!$H:$M,_xlpm.rw,0),_xlpm.diffs,ABS(_xlpm.vals-F84),_xlpm.mn,MIN(_xlpm.diffs),_xlpm.pos,MATCH(_xlpm.mn,_xlpm.diffs,0),IF(_xlpm.mn/F84&lt;=0.02,TRIM(INDEX('[1]Toda FM'!$H$2:$M$2,1,_xlpm.pos)),"")),"")</f>
        <v>F6</v>
      </c>
      <c r="I84" s="3">
        <f>IFERROR(_xlfn.XLOOKUP(B84,'[1]Toda FM'!$A:$A,'[1]Toda FM'!$R:$R,""),"")</f>
        <v>0</v>
      </c>
    </row>
    <row r="85" spans="1:9" x14ac:dyDescent="0.25">
      <c r="A85" s="9" t="s">
        <v>103</v>
      </c>
      <c r="B85" s="9" t="s">
        <v>118</v>
      </c>
      <c r="C85" s="8">
        <v>76.623750000000001</v>
      </c>
      <c r="D85" s="7">
        <v>66.03</v>
      </c>
      <c r="E85" s="11">
        <f t="shared" si="2"/>
        <v>4.9977283053157615E-2</v>
      </c>
      <c r="F85" s="10">
        <v>69.33</v>
      </c>
      <c r="G85" s="4">
        <f>IFERROR(_xlfn.XLOOKUP(B85,'[1]Toda FM'!$A:$A,'[1]Toda FM'!$Q:$Q,""),"")</f>
        <v>0.05</v>
      </c>
      <c r="H85" s="3" t="str" cm="1">
        <f t="array" ref="H85">IFERROR(_xlfn.LET(_xlpm.rw,MATCH(B85,'[1]Toda FM'!$A:$A,0),_xlpm.vals,INDEX('[1]Toda FM'!$H:$M,_xlpm.rw,0),_xlpm.diffs,ABS(_xlpm.vals-F85),_xlpm.mn,MIN(_xlpm.diffs),_xlpm.pos,MATCH(_xlpm.mn,_xlpm.diffs,0),IF(_xlpm.mn/F85&lt;=0.02,TRIM(INDEX('[1]Toda FM'!$H$2:$M$2,1,_xlpm.pos)),"")),"")</f>
        <v>F6</v>
      </c>
      <c r="I85" s="3">
        <f>IFERROR(_xlfn.XLOOKUP(B85,'[1]Toda FM'!$A:$A,'[1]Toda FM'!$R:$R,""),"")</f>
        <v>0</v>
      </c>
    </row>
    <row r="86" spans="1:9" x14ac:dyDescent="0.25">
      <c r="A86" s="9" t="s">
        <v>103</v>
      </c>
      <c r="B86" s="9" t="s">
        <v>18</v>
      </c>
      <c r="C86" s="8">
        <v>65.598749999999995</v>
      </c>
      <c r="D86" s="7">
        <v>55.8</v>
      </c>
      <c r="E86" s="11">
        <f t="shared" si="2"/>
        <v>6.3620071684587887E-2</v>
      </c>
      <c r="F86" s="10">
        <v>59.35</v>
      </c>
      <c r="G86" s="4">
        <f>IFERROR(_xlfn.XLOOKUP(B86,'[1]Toda FM'!$A:$A,'[1]Toda FM'!$Q:$Q,""),"")</f>
        <v>0.05</v>
      </c>
      <c r="H86" s="3" t="str" cm="1">
        <f t="array" ref="H86">IFERROR(_xlfn.LET(_xlpm.rw,MATCH(B86,'[1]Toda FM'!$A:$A,0),_xlpm.vals,INDEX('[1]Toda FM'!$H:$M,_xlpm.rw,0),_xlpm.diffs,ABS(_xlpm.vals-F86),_xlpm.mn,MIN(_xlpm.diffs),_xlpm.pos,MATCH(_xlpm.mn,_xlpm.diffs,0),IF(_xlpm.mn/F86&lt;=0.02,TRIM(INDEX('[1]Toda FM'!$H$2:$M$2,1,_xlpm.pos)),"")),"")</f>
        <v>F6</v>
      </c>
      <c r="I86" s="3">
        <f>IFERROR(_xlfn.XLOOKUP(B86,'[1]Toda FM'!$A:$A,'[1]Toda FM'!$R:$R,""),"")</f>
        <v>0</v>
      </c>
    </row>
    <row r="87" spans="1:9" x14ac:dyDescent="0.25">
      <c r="A87" s="9" t="s">
        <v>103</v>
      </c>
      <c r="B87" s="9" t="s">
        <v>117</v>
      </c>
      <c r="C87" s="8">
        <v>95.77</v>
      </c>
      <c r="D87" s="7">
        <v>89.5</v>
      </c>
      <c r="E87" s="11">
        <f t="shared" si="2"/>
        <v>1.655307262569829E-2</v>
      </c>
      <c r="F87" s="10">
        <v>90.981499999999997</v>
      </c>
      <c r="G87" s="4">
        <f>IFERROR(_xlfn.XLOOKUP(B87,'[1]Toda FM'!$A:$A,'[1]Toda FM'!$Q:$Q,""),"")</f>
        <v>0</v>
      </c>
      <c r="H87" s="3" t="str" cm="1">
        <f t="array" ref="H87">IFERROR(_xlfn.LET(_xlpm.rw,MATCH(B87,'[1]Toda FM'!$A:$A,0),_xlpm.vals,INDEX('[1]Toda FM'!$H:$M,_xlpm.rw,0),_xlpm.diffs,ABS(_xlpm.vals-F87),_xlpm.mn,MIN(_xlpm.diffs),_xlpm.pos,MATCH(_xlpm.mn,_xlpm.diffs,0),IF(_xlpm.mn/F87&lt;=0.02,TRIM(INDEX('[1]Toda FM'!$H$2:$M$2,1,_xlpm.pos)),"")),"")</f>
        <v>F6</v>
      </c>
      <c r="I87" s="3" t="str">
        <f>IFERROR(_xlfn.XLOOKUP(B87,'[1]Toda FM'!$A:$A,'[1]Toda FM'!$R:$R,""),"")</f>
        <v>WATER 
REPELLENT</v>
      </c>
    </row>
    <row r="88" spans="1:9" x14ac:dyDescent="0.25">
      <c r="A88" s="9" t="s">
        <v>103</v>
      </c>
      <c r="B88" s="9" t="s">
        <v>116</v>
      </c>
      <c r="C88" s="8">
        <v>114</v>
      </c>
      <c r="D88" s="7">
        <v>113.468</v>
      </c>
      <c r="E88" s="11">
        <f t="shared" si="2"/>
        <v>4.6885465505692924E-3</v>
      </c>
      <c r="F88" s="10">
        <v>114</v>
      </c>
      <c r="G88" s="4">
        <f>IFERROR(_xlfn.XLOOKUP(B88,'[1]Toda FM'!$A:$A,'[1]Toda FM'!$Q:$Q,""),"")</f>
        <v>0</v>
      </c>
      <c r="H88" s="3" t="str" cm="1">
        <f t="array" ref="H88">IFERROR(_xlfn.LET(_xlpm.rw,MATCH(B88,'[1]Toda FM'!$A:$A,0),_xlpm.vals,INDEX('[1]Toda FM'!$H:$M,_xlpm.rw,0),_xlpm.diffs,ABS(_xlpm.vals-F88),_xlpm.mn,MIN(_xlpm.diffs),_xlpm.pos,MATCH(_xlpm.mn,_xlpm.diffs,0),IF(_xlpm.mn/F88&lt;=0.02,TRIM(INDEX('[1]Toda FM'!$H$2:$M$2,1,_xlpm.pos)),"")),"")</f>
        <v>F5</v>
      </c>
      <c r="I88" s="3">
        <f>IFERROR(_xlfn.XLOOKUP(B88,'[1]Toda FM'!$A:$A,'[1]Toda FM'!$R:$R,""),"")</f>
        <v>0</v>
      </c>
    </row>
    <row r="89" spans="1:9" x14ac:dyDescent="0.25">
      <c r="A89" s="9" t="s">
        <v>103</v>
      </c>
      <c r="B89" s="9" t="s">
        <v>115</v>
      </c>
      <c r="C89" s="8">
        <v>399</v>
      </c>
      <c r="D89" s="7">
        <v>359.1</v>
      </c>
      <c r="E89" s="11">
        <f t="shared" si="2"/>
        <v>5.5555555555555518E-2</v>
      </c>
      <c r="F89" s="10">
        <v>379.05</v>
      </c>
      <c r="G89" s="4">
        <f>IFERROR(_xlfn.XLOOKUP(B89,'[1]Toda FM'!$A:$A,'[1]Toda FM'!$Q:$Q,""),"")</f>
        <v>0</v>
      </c>
      <c r="H89" s="3" t="str" cm="1">
        <f t="array" ref="H89">IFERROR(_xlfn.LET(_xlpm.rw,MATCH(B89,'[1]Toda FM'!$A:$A,0),_xlpm.vals,INDEX('[1]Toda FM'!$H:$M,_xlpm.rw,0),_xlpm.diffs,ABS(_xlpm.vals-F89),_xlpm.mn,MIN(_xlpm.diffs),_xlpm.pos,MATCH(_xlpm.mn,_xlpm.diffs,0),IF(_xlpm.mn/F89&lt;=0.02,TRIM(INDEX('[1]Toda FM'!$H$2:$M$2,1,_xlpm.pos)),"")),"")</f>
        <v>F6</v>
      </c>
      <c r="I89" s="3" t="str">
        <f>IFERROR(_xlfn.XLOOKUP(B89,'[1]Toda FM'!$A:$A,'[1]Toda FM'!$R:$R,""),"")</f>
        <v>REVOLUTION</v>
      </c>
    </row>
    <row r="90" spans="1:9" x14ac:dyDescent="0.25">
      <c r="A90" s="9" t="s">
        <v>103</v>
      </c>
      <c r="B90" s="9" t="s">
        <v>85</v>
      </c>
      <c r="C90" s="8">
        <v>87.097499999999997</v>
      </c>
      <c r="D90" s="7">
        <v>75.05</v>
      </c>
      <c r="E90" s="11">
        <f t="shared" si="2"/>
        <v>4.9999999999999975E-2</v>
      </c>
      <c r="F90" s="10">
        <v>78.802499999999995</v>
      </c>
      <c r="G90" s="4">
        <f>IFERROR(_xlfn.XLOOKUP(B90,'[1]Toda FM'!$A:$A,'[1]Toda FM'!$Q:$Q,""),"")</f>
        <v>0.05</v>
      </c>
      <c r="H90" s="3" t="str" cm="1">
        <f t="array" ref="H90">IFERROR(_xlfn.LET(_xlpm.rw,MATCH(B90,'[1]Toda FM'!$A:$A,0),_xlpm.vals,INDEX('[1]Toda FM'!$H:$M,_xlpm.rw,0),_xlpm.diffs,ABS(_xlpm.vals-F90),_xlpm.mn,MIN(_xlpm.diffs),_xlpm.pos,MATCH(_xlpm.mn,_xlpm.diffs,0),IF(_xlpm.mn/F90&lt;=0.02,TRIM(INDEX('[1]Toda FM'!$H$2:$M$2,1,_xlpm.pos)),"")),"")</f>
        <v>F6</v>
      </c>
      <c r="I90" s="3">
        <f>IFERROR(_xlfn.XLOOKUP(B90,'[1]Toda FM'!$A:$A,'[1]Toda FM'!$R:$R,""),"")</f>
        <v>0</v>
      </c>
    </row>
    <row r="91" spans="1:9" x14ac:dyDescent="0.25">
      <c r="A91" s="9" t="s">
        <v>103</v>
      </c>
      <c r="B91" s="9" t="s">
        <v>93</v>
      </c>
      <c r="C91" s="8">
        <v>74.37</v>
      </c>
      <c r="D91" s="7">
        <v>69.5</v>
      </c>
      <c r="E91" s="11">
        <f t="shared" si="2"/>
        <v>1.6568345323740987E-2</v>
      </c>
      <c r="F91" s="10">
        <v>70.651499999999999</v>
      </c>
      <c r="G91" s="4">
        <f>IFERROR(_xlfn.XLOOKUP(B91,'[1]Toda FM'!$A:$A,'[1]Toda FM'!$Q:$Q,""),"")</f>
        <v>0</v>
      </c>
      <c r="H91" s="3" t="str" cm="1">
        <f t="array" ref="H91">IFERROR(_xlfn.LET(_xlpm.rw,MATCH(B91,'[1]Toda FM'!$A:$A,0),_xlpm.vals,INDEX('[1]Toda FM'!$H:$M,_xlpm.rw,0),_xlpm.diffs,ABS(_xlpm.vals-F91),_xlpm.mn,MIN(_xlpm.diffs),_xlpm.pos,MATCH(_xlpm.mn,_xlpm.diffs,0),IF(_xlpm.mn/F91&lt;=0.02,TRIM(INDEX('[1]Toda FM'!$H$2:$M$2,1,_xlpm.pos)),"")),"")</f>
        <v>F6</v>
      </c>
      <c r="I91" s="3" t="str">
        <f>IFERROR(_xlfn.XLOOKUP(B91,'[1]Toda FM'!$A:$A,'[1]Toda FM'!$R:$R,""),"")</f>
        <v>WATER 
REPELLENT</v>
      </c>
    </row>
    <row r="92" spans="1:9" x14ac:dyDescent="0.25">
      <c r="A92" s="9" t="s">
        <v>103</v>
      </c>
      <c r="B92" s="9" t="s">
        <v>114</v>
      </c>
      <c r="C92" s="8">
        <v>128.78030000000001</v>
      </c>
      <c r="D92" s="7">
        <v>98.01</v>
      </c>
      <c r="E92" s="11">
        <f t="shared" si="2"/>
        <v>1.5325476992143627E-2</v>
      </c>
      <c r="F92" s="10">
        <v>99.512050000000002</v>
      </c>
      <c r="G92" s="4">
        <f>IFERROR(_xlfn.XLOOKUP(B92,'[1]Toda FM'!$A:$A,'[1]Toda FM'!$Q:$Q,""),"")</f>
        <v>0.1</v>
      </c>
      <c r="H92" s="3" t="str" cm="1">
        <f t="array" ref="H92">IFERROR(_xlfn.LET(_xlpm.rw,MATCH(B92,'[1]Toda FM'!$A:$A,0),_xlpm.vals,INDEX('[1]Toda FM'!$H:$M,_xlpm.rw,0),_xlpm.diffs,ABS(_xlpm.vals-F92),_xlpm.mn,MIN(_xlpm.diffs),_xlpm.pos,MATCH(_xlpm.mn,_xlpm.diffs,0),IF(_xlpm.mn/F92&lt;=0.02,TRIM(INDEX('[1]Toda FM'!$H$2:$M$2,1,_xlpm.pos)),"")),"")</f>
        <v>F10</v>
      </c>
      <c r="I92" s="3">
        <f>IFERROR(_xlfn.XLOOKUP(B92,'[1]Toda FM'!$A:$A,'[1]Toda FM'!$R:$R,""),"")</f>
        <v>0</v>
      </c>
    </row>
    <row r="93" spans="1:9" x14ac:dyDescent="0.25">
      <c r="A93" s="9" t="s">
        <v>103</v>
      </c>
      <c r="B93" s="9" t="s">
        <v>113</v>
      </c>
      <c r="C93" s="8">
        <v>107.69</v>
      </c>
      <c r="D93" s="7">
        <v>80.099999999999994</v>
      </c>
      <c r="E93" s="11">
        <f t="shared" si="2"/>
        <v>3.8951310861423283E-2</v>
      </c>
      <c r="F93" s="10">
        <v>83.22</v>
      </c>
      <c r="G93" s="4">
        <f>IFERROR(_xlfn.XLOOKUP(B93,'[1]Toda FM'!$A:$A,'[1]Toda FM'!$Q:$Q,""),"")</f>
        <v>0.1</v>
      </c>
      <c r="H93" s="3" t="str" cm="1">
        <f t="array" ref="H93">IFERROR(_xlfn.LET(_xlpm.rw,MATCH(B93,'[1]Toda FM'!$A:$A,0),_xlpm.vals,INDEX('[1]Toda FM'!$H:$M,_xlpm.rw,0),_xlpm.diffs,ABS(_xlpm.vals-F93),_xlpm.mn,MIN(_xlpm.diffs),_xlpm.pos,MATCH(_xlpm.mn,_xlpm.diffs,0),IF(_xlpm.mn/F93&lt;=0.02,TRIM(INDEX('[1]Toda FM'!$H$2:$M$2,1,_xlpm.pos)),"")),"")</f>
        <v>F10</v>
      </c>
      <c r="I93" s="3">
        <f>IFERROR(_xlfn.XLOOKUP(B93,'[1]Toda FM'!$A:$A,'[1]Toda FM'!$R:$R,""),"")</f>
        <v>0</v>
      </c>
    </row>
    <row r="94" spans="1:9" x14ac:dyDescent="0.25">
      <c r="A94" s="9" t="s">
        <v>103</v>
      </c>
      <c r="B94" s="9" t="s">
        <v>51</v>
      </c>
      <c r="C94" s="8">
        <v>101.12</v>
      </c>
      <c r="D94" s="7">
        <v>93.337500000000006</v>
      </c>
      <c r="E94" s="11">
        <f t="shared" si="2"/>
        <v>2.9168340699075895E-2</v>
      </c>
      <c r="F94" s="10">
        <v>96.06</v>
      </c>
      <c r="G94" s="4">
        <f>IFERROR(_xlfn.XLOOKUP(B94,'[1]Toda FM'!$A:$A,'[1]Toda FM'!$Q:$Q,""),"")</f>
        <v>0</v>
      </c>
      <c r="H94" s="3" t="str" cm="1">
        <f t="array" ref="H94">IFERROR(_xlfn.LET(_xlpm.rw,MATCH(B94,'[1]Toda FM'!$A:$A,0),_xlpm.vals,INDEX('[1]Toda FM'!$H:$M,_xlpm.rw,0),_xlpm.diffs,ABS(_xlpm.vals-F94),_xlpm.mn,MIN(_xlpm.diffs),_xlpm.pos,MATCH(_xlpm.mn,_xlpm.diffs,0),IF(_xlpm.mn/F94&lt;=0.02,TRIM(INDEX('[1]Toda FM'!$H$2:$M$2,1,_xlpm.pos)),"")),"")</f>
        <v>F6</v>
      </c>
      <c r="I94" s="3" t="str">
        <f>IFERROR(_xlfn.XLOOKUP(B94,'[1]Toda FM'!$A:$A,'[1]Toda FM'!$R:$R,""),"")</f>
        <v>WATER 
REPELLENT</v>
      </c>
    </row>
    <row r="95" spans="1:9" x14ac:dyDescent="0.25">
      <c r="A95" s="9" t="s">
        <v>103</v>
      </c>
      <c r="B95" s="9" t="s">
        <v>20</v>
      </c>
      <c r="C95" s="8">
        <v>76.623750000000001</v>
      </c>
      <c r="D95" s="7">
        <v>66.03</v>
      </c>
      <c r="E95" s="11">
        <f t="shared" si="2"/>
        <v>4.9920490686051804E-2</v>
      </c>
      <c r="F95" s="10">
        <v>69.326250000000002</v>
      </c>
      <c r="G95" s="4">
        <f>IFERROR(_xlfn.XLOOKUP(B95,'[1]Toda FM'!$A:$A,'[1]Toda FM'!$Q:$Q,""),"")</f>
        <v>0.05</v>
      </c>
      <c r="H95" s="3" t="str" cm="1">
        <f t="array" ref="H95">IFERROR(_xlfn.LET(_xlpm.rw,MATCH(B95,'[1]Toda FM'!$A:$A,0),_xlpm.vals,INDEX('[1]Toda FM'!$H:$M,_xlpm.rw,0),_xlpm.diffs,ABS(_xlpm.vals-F95),_xlpm.mn,MIN(_xlpm.diffs),_xlpm.pos,MATCH(_xlpm.mn,_xlpm.diffs,0),IF(_xlpm.mn/F95&lt;=0.02,TRIM(INDEX('[1]Toda FM'!$H$2:$M$2,1,_xlpm.pos)),"")),"")</f>
        <v>F6</v>
      </c>
      <c r="I95" s="3">
        <f>IFERROR(_xlfn.XLOOKUP(B95,'[1]Toda FM'!$A:$A,'[1]Toda FM'!$R:$R,""),"")</f>
        <v>0</v>
      </c>
    </row>
    <row r="96" spans="1:9" x14ac:dyDescent="0.25">
      <c r="A96" s="9" t="s">
        <v>103</v>
      </c>
      <c r="B96" s="9" t="s">
        <v>112</v>
      </c>
      <c r="C96" s="8">
        <v>114.345</v>
      </c>
      <c r="D96" s="7">
        <v>85.416187500000007</v>
      </c>
      <c r="E96" s="11">
        <f t="shared" si="2"/>
        <v>9.534272997141198E-2</v>
      </c>
      <c r="F96" s="10">
        <v>93.56</v>
      </c>
      <c r="G96" s="4">
        <f>IFERROR(_xlfn.XLOOKUP(B96,'[1]Toda FM'!$A:$A,'[1]Toda FM'!$Q:$Q,""),"")</f>
        <v>0.1</v>
      </c>
      <c r="H96" s="3" t="str" cm="1">
        <f t="array" ref="H96">IFERROR(_xlfn.LET(_xlpm.rw,MATCH(B96,'[1]Toda FM'!$A:$A,0),_xlpm.vals,INDEX('[1]Toda FM'!$H:$M,_xlpm.rw,0),_xlpm.diffs,ABS(_xlpm.vals-F96),_xlpm.mn,MIN(_xlpm.diffs),_xlpm.pos,MATCH(_xlpm.mn,_xlpm.diffs,0),IF(_xlpm.mn/F96&lt;=0.02,TRIM(INDEX('[1]Toda FM'!$H$2:$M$2,1,_xlpm.pos)),"")),"")</f>
        <v>F8</v>
      </c>
      <c r="I96" s="3" t="str">
        <f>IFERROR(_xlfn.XLOOKUP(B96,'[1]Toda FM'!$A:$A,'[1]Toda FM'!$R:$R,""),"")</f>
        <v>WATER 
REPELLENT</v>
      </c>
    </row>
    <row r="97" spans="1:9" x14ac:dyDescent="0.25">
      <c r="A97" s="9" t="s">
        <v>103</v>
      </c>
      <c r="B97" s="9" t="s">
        <v>111</v>
      </c>
      <c r="C97" s="8">
        <v>84.5</v>
      </c>
      <c r="D97" s="7">
        <v>84.5</v>
      </c>
      <c r="E97" s="11">
        <f t="shared" si="2"/>
        <v>0</v>
      </c>
      <c r="F97" s="10">
        <v>84.5</v>
      </c>
      <c r="G97" s="4">
        <f>IFERROR(_xlfn.XLOOKUP(B97,'[1]Toda FM'!$A:$A,'[1]Toda FM'!$Q:$Q,""),"")</f>
        <v>0</v>
      </c>
      <c r="H97" s="3" t="str" cm="1">
        <f t="array" ref="H97">IFERROR(_xlfn.LET(_xlpm.rw,MATCH(B97,'[1]Toda FM'!$A:$A,0),_xlpm.vals,INDEX('[1]Toda FM'!$H:$M,_xlpm.rw,0),_xlpm.diffs,ABS(_xlpm.vals-F97),_xlpm.mn,MIN(_xlpm.diffs),_xlpm.pos,MATCH(_xlpm.mn,_xlpm.diffs,0),IF(_xlpm.mn/F97&lt;=0.02,TRIM(INDEX('[1]Toda FM'!$H$2:$M$2,1,_xlpm.pos)),"")),"")</f>
        <v>F5</v>
      </c>
      <c r="I97" s="3">
        <f>IFERROR(_xlfn.XLOOKUP(B97,'[1]Toda FM'!$A:$A,'[1]Toda FM'!$R:$R,""),"")</f>
        <v>0</v>
      </c>
    </row>
    <row r="98" spans="1:9" x14ac:dyDescent="0.25">
      <c r="A98" s="9" t="s">
        <v>103</v>
      </c>
      <c r="B98" s="9" t="s">
        <v>110</v>
      </c>
      <c r="C98" s="8">
        <v>168.79499999999999</v>
      </c>
      <c r="D98" s="7">
        <v>132.53</v>
      </c>
      <c r="E98" s="11">
        <f t="shared" ref="E98:E129" si="3">IFERROR((F98-D98)/D98,"")</f>
        <v>9.9958499962272712E-2</v>
      </c>
      <c r="F98" s="10">
        <v>145.7775</v>
      </c>
      <c r="G98" s="4">
        <f>IFERROR(_xlfn.XLOOKUP(B98,'[1]Toda FM'!$A:$A,'[1]Toda FM'!$Q:$Q,""),"")</f>
        <v>0.1</v>
      </c>
      <c r="H98" s="3" t="str" cm="1">
        <f t="array" ref="H98">IFERROR(_xlfn.LET(_xlpm.rw,MATCH(B98,'[1]Toda FM'!$A:$A,0),_xlpm.vals,INDEX('[1]Toda FM'!$H:$M,_xlpm.rw,0),_xlpm.diffs,ABS(_xlpm.vals-F98),_xlpm.mn,MIN(_xlpm.diffs),_xlpm.pos,MATCH(_xlpm.mn,_xlpm.diffs,0),IF(_xlpm.mn/F98&lt;=0.02,TRIM(INDEX('[1]Toda FM'!$H$2:$M$2,1,_xlpm.pos)),"")),"")</f>
        <v>F6</v>
      </c>
      <c r="I98" s="3">
        <f>IFERROR(_xlfn.XLOOKUP(B98,'[1]Toda FM'!$A:$A,'[1]Toda FM'!$R:$R,""),"")</f>
        <v>0</v>
      </c>
    </row>
    <row r="99" spans="1:9" x14ac:dyDescent="0.25">
      <c r="A99" s="9" t="s">
        <v>103</v>
      </c>
      <c r="B99" s="9" t="s">
        <v>109</v>
      </c>
      <c r="C99" s="8">
        <v>120.1725</v>
      </c>
      <c r="D99" s="7">
        <v>103.2</v>
      </c>
      <c r="E99" s="11">
        <f t="shared" si="3"/>
        <v>5.3561046511627936E-2</v>
      </c>
      <c r="F99" s="10">
        <v>108.72750000000001</v>
      </c>
      <c r="G99" s="4">
        <f>IFERROR(_xlfn.XLOOKUP(B99,'[1]Toda FM'!$A:$A,'[1]Toda FM'!$Q:$Q,""),"")</f>
        <v>0.05</v>
      </c>
      <c r="H99" s="3" t="str" cm="1">
        <f t="array" ref="H99">IFERROR(_xlfn.LET(_xlpm.rw,MATCH(B99,'[1]Toda FM'!$A:$A,0),_xlpm.vals,INDEX('[1]Toda FM'!$H:$M,_xlpm.rw,0),_xlpm.diffs,ABS(_xlpm.vals-F99),_xlpm.mn,MIN(_xlpm.diffs),_xlpm.pos,MATCH(_xlpm.mn,_xlpm.diffs,0),IF(_xlpm.mn/F99&lt;=0.02,TRIM(INDEX('[1]Toda FM'!$H$2:$M$2,1,_xlpm.pos)),"")),"")</f>
        <v>F6</v>
      </c>
      <c r="I99" s="3">
        <f>IFERROR(_xlfn.XLOOKUP(B99,'[1]Toda FM'!$A:$A,'[1]Toda FM'!$R:$R,""),"")</f>
        <v>0</v>
      </c>
    </row>
    <row r="100" spans="1:9" x14ac:dyDescent="0.25">
      <c r="A100" s="9" t="s">
        <v>103</v>
      </c>
      <c r="B100" s="9" t="s">
        <v>108</v>
      </c>
      <c r="C100" s="8">
        <v>168.19</v>
      </c>
      <c r="D100" s="7">
        <v>125.1</v>
      </c>
      <c r="E100" s="11">
        <f t="shared" si="3"/>
        <v>0.10000000000000016</v>
      </c>
      <c r="F100" s="10">
        <v>137.61000000000001</v>
      </c>
      <c r="G100" s="4">
        <f>IFERROR(_xlfn.XLOOKUP(B100,'[1]Toda FM'!$A:$A,'[1]Toda FM'!$Q:$Q,""),"")</f>
        <v>0.1</v>
      </c>
      <c r="H100" s="3" t="str" cm="1">
        <f t="array" ref="H100">IFERROR(_xlfn.LET(_xlpm.rw,MATCH(B100,'[1]Toda FM'!$A:$A,0),_xlpm.vals,INDEX('[1]Toda FM'!$H:$M,_xlpm.rw,0),_xlpm.diffs,ABS(_xlpm.vals-F100),_xlpm.mn,MIN(_xlpm.diffs),_xlpm.pos,MATCH(_xlpm.mn,_xlpm.diffs,0),IF(_xlpm.mn/F100&lt;=0.02,TRIM(INDEX('[1]Toda FM'!$H$2:$M$2,1,_xlpm.pos)),"")),"")</f>
        <v>F8</v>
      </c>
      <c r="I100" s="3" t="str">
        <f>IFERROR(_xlfn.XLOOKUP(B100,'[1]Toda FM'!$A:$A,'[1]Toda FM'!$R:$R,""),"")</f>
        <v>LONG LIFE
FEB 2026</v>
      </c>
    </row>
    <row r="101" spans="1:9" x14ac:dyDescent="0.25">
      <c r="A101" s="9" t="s">
        <v>103</v>
      </c>
      <c r="B101" s="9" t="s">
        <v>107</v>
      </c>
      <c r="C101" s="8">
        <v>129</v>
      </c>
      <c r="D101" s="7">
        <v>122.55</v>
      </c>
      <c r="E101" s="11">
        <f t="shared" si="3"/>
        <v>0</v>
      </c>
      <c r="F101" s="10">
        <v>122.55</v>
      </c>
      <c r="G101" s="4">
        <f>IFERROR(_xlfn.XLOOKUP(B101,'[1]Toda FM'!$A:$A,'[1]Toda FM'!$Q:$Q,""),"")</f>
        <v>0</v>
      </c>
      <c r="H101" s="3" t="str" cm="1">
        <f t="array" ref="H101">IFERROR(_xlfn.LET(_xlpm.rw,MATCH(B101,'[1]Toda FM'!$A:$A,0),_xlpm.vals,INDEX('[1]Toda FM'!$H:$M,_xlpm.rw,0),_xlpm.diffs,ABS(_xlpm.vals-F101),_xlpm.mn,MIN(_xlpm.diffs),_xlpm.pos,MATCH(_xlpm.mn,_xlpm.diffs,0),IF(_xlpm.mn/F101&lt;=0.02,TRIM(INDEX('[1]Toda FM'!$H$2:$M$2,1,_xlpm.pos)),"")),"")</f>
        <v>F6</v>
      </c>
      <c r="I101" s="3">
        <f>IFERROR(_xlfn.XLOOKUP(B101,'[1]Toda FM'!$A:$A,'[1]Toda FM'!$R:$R,""),"")</f>
        <v>0</v>
      </c>
    </row>
    <row r="102" spans="1:9" x14ac:dyDescent="0.25">
      <c r="A102" s="9" t="s">
        <v>103</v>
      </c>
      <c r="B102" s="9" t="s">
        <v>102</v>
      </c>
      <c r="C102" s="8">
        <v>168.19</v>
      </c>
      <c r="D102" s="7">
        <v>120</v>
      </c>
      <c r="E102" s="11">
        <f t="shared" si="3"/>
        <v>8.3083333333333328E-2</v>
      </c>
      <c r="F102" s="10">
        <v>129.97</v>
      </c>
      <c r="G102" s="4">
        <f>IFERROR(_xlfn.XLOOKUP(B102,'[1]Toda FM'!$A:$A,'[1]Toda FM'!$Q:$Q,""),"")</f>
        <v>0.1</v>
      </c>
      <c r="H102" s="3" t="str" cm="1">
        <f t="array" ref="H102">IFERROR(_xlfn.LET(_xlpm.rw,MATCH(B102,'[1]Toda FM'!$A:$A,0),_xlpm.vals,INDEX('[1]Toda FM'!$H:$M,_xlpm.rw,0),_xlpm.diffs,ABS(_xlpm.vals-F102),_xlpm.mn,MIN(_xlpm.diffs),_xlpm.pos,MATCH(_xlpm.mn,_xlpm.diffs,0),IF(_xlpm.mn/F102&lt;=0.02,TRIM(INDEX('[1]Toda FM'!$H$2:$M$2,1,_xlpm.pos)),"")),"")</f>
        <v>F10</v>
      </c>
      <c r="I102" s="3">
        <f>IFERROR(_xlfn.XLOOKUP(B102,'[1]Toda FM'!$A:$A,'[1]Toda FM'!$R:$R,""),"")</f>
        <v>0</v>
      </c>
    </row>
    <row r="103" spans="1:9" x14ac:dyDescent="0.25">
      <c r="A103" s="9" t="s">
        <v>103</v>
      </c>
      <c r="B103" s="9" t="s">
        <v>106</v>
      </c>
      <c r="C103" s="8">
        <v>129</v>
      </c>
      <c r="D103" s="7">
        <v>125.1</v>
      </c>
      <c r="E103" s="11">
        <f t="shared" si="3"/>
        <v>3.1175059952038415E-2</v>
      </c>
      <c r="F103" s="10">
        <v>129</v>
      </c>
      <c r="G103" s="4">
        <f>IFERROR(_xlfn.XLOOKUP(B103,'[1]Toda FM'!$A:$A,'[1]Toda FM'!$Q:$Q,""),"")</f>
        <v>0</v>
      </c>
      <c r="H103" s="3" t="str" cm="1">
        <f t="array" ref="H103">IFERROR(_xlfn.LET(_xlpm.rw,MATCH(B103,'[1]Toda FM'!$A:$A,0),_xlpm.vals,INDEX('[1]Toda FM'!$H:$M,_xlpm.rw,0),_xlpm.diffs,ABS(_xlpm.vals-F103),_xlpm.mn,MIN(_xlpm.diffs),_xlpm.pos,MATCH(_xlpm.mn,_xlpm.diffs,0),IF(_xlpm.mn/F103&lt;=0.02,TRIM(INDEX('[1]Toda FM'!$H$2:$M$2,1,_xlpm.pos)),"")),"")</f>
        <v>F5</v>
      </c>
      <c r="I103" s="3">
        <f>IFERROR(_xlfn.XLOOKUP(B103,'[1]Toda FM'!$A:$A,'[1]Toda FM'!$R:$R,""),"")</f>
        <v>0</v>
      </c>
    </row>
    <row r="104" spans="1:9" x14ac:dyDescent="0.25">
      <c r="A104" s="9" t="s">
        <v>103</v>
      </c>
      <c r="B104" s="9" t="s">
        <v>105</v>
      </c>
      <c r="C104" s="8">
        <v>144.595</v>
      </c>
      <c r="D104" s="7">
        <v>107.55</v>
      </c>
      <c r="E104" s="11">
        <f t="shared" si="3"/>
        <v>0.10000000000000009</v>
      </c>
      <c r="F104" s="10">
        <v>118.30500000000001</v>
      </c>
      <c r="G104" s="4">
        <f>IFERROR(_xlfn.XLOOKUP(B104,'[1]Toda FM'!$A:$A,'[1]Toda FM'!$Q:$Q,""),"")</f>
        <v>0.1</v>
      </c>
      <c r="H104" s="3" t="str" cm="1">
        <f t="array" ref="H104">IFERROR(_xlfn.LET(_xlpm.rw,MATCH(B104,'[1]Toda FM'!$A:$A,0),_xlpm.vals,INDEX('[1]Toda FM'!$H:$M,_xlpm.rw,0),_xlpm.diffs,ABS(_xlpm.vals-F104),_xlpm.mn,MIN(_xlpm.diffs),_xlpm.pos,MATCH(_xlpm.mn,_xlpm.diffs,0),IF(_xlpm.mn/F104&lt;=0.02,TRIM(INDEX('[1]Toda FM'!$H$2:$M$2,1,_xlpm.pos)),"")),"")</f>
        <v>F8</v>
      </c>
      <c r="I104" s="3">
        <f>IFERROR(_xlfn.XLOOKUP(B104,'[1]Toda FM'!$A:$A,'[1]Toda FM'!$R:$R,""),"")</f>
        <v>0</v>
      </c>
    </row>
    <row r="105" spans="1:9" x14ac:dyDescent="0.25">
      <c r="A105" s="9" t="s">
        <v>103</v>
      </c>
      <c r="B105" s="9" t="s">
        <v>104</v>
      </c>
      <c r="C105" s="8">
        <v>175.29750000000001</v>
      </c>
      <c r="D105" s="7">
        <v>151.05000000000001</v>
      </c>
      <c r="E105" s="11">
        <f t="shared" si="3"/>
        <v>4.9999999999999871E-2</v>
      </c>
      <c r="F105" s="10">
        <v>158.60249999999999</v>
      </c>
      <c r="G105" s="4">
        <f>IFERROR(_xlfn.XLOOKUP(B105,'[1]Toda FM'!$A:$A,'[1]Toda FM'!$Q:$Q,""),"")</f>
        <v>0.05</v>
      </c>
      <c r="H105" s="3" t="str" cm="1">
        <f t="array" ref="H105">IFERROR(_xlfn.LET(_xlpm.rw,MATCH(B105,'[1]Toda FM'!$A:$A,0),_xlpm.vals,INDEX('[1]Toda FM'!$H:$M,_xlpm.rw,0),_xlpm.diffs,ABS(_xlpm.vals-F105),_xlpm.mn,MIN(_xlpm.diffs),_xlpm.pos,MATCH(_xlpm.mn,_xlpm.diffs,0),IF(_xlpm.mn/F105&lt;=0.02,TRIM(INDEX('[1]Toda FM'!$H$2:$M$2,1,_xlpm.pos)),"")),"")</f>
        <v>F6</v>
      </c>
      <c r="I105" s="3" t="str">
        <f>IFERROR(_xlfn.XLOOKUP(B105,'[1]Toda FM'!$A:$A,'[1]Toda FM'!$R:$R,""),"")</f>
        <v>LONG LIFE
FEB 2026</v>
      </c>
    </row>
    <row r="106" spans="1:9" x14ac:dyDescent="0.25">
      <c r="A106" s="9" t="s">
        <v>103</v>
      </c>
      <c r="B106" s="9" t="s">
        <v>36</v>
      </c>
      <c r="C106" s="8">
        <v>69</v>
      </c>
      <c r="D106" s="7">
        <v>65.55</v>
      </c>
      <c r="E106" s="11">
        <f t="shared" si="3"/>
        <v>0</v>
      </c>
      <c r="F106" s="10">
        <v>65.55</v>
      </c>
      <c r="G106" s="4">
        <f>IFERROR(_xlfn.XLOOKUP(B106,'[1]Toda FM'!$A:$A,'[1]Toda FM'!$Q:$Q,""),"")</f>
        <v>0</v>
      </c>
      <c r="H106" s="3" t="str" cm="1">
        <f t="array" ref="H106">IFERROR(_xlfn.LET(_xlpm.rw,MATCH(B106,'[1]Toda FM'!$A:$A,0),_xlpm.vals,INDEX('[1]Toda FM'!$H:$M,_xlpm.rw,0),_xlpm.diffs,ABS(_xlpm.vals-F106),_xlpm.mn,MIN(_xlpm.diffs),_xlpm.pos,MATCH(_xlpm.mn,_xlpm.diffs,0),IF(_xlpm.mn/F106&lt;=0.02,TRIM(INDEX('[1]Toda FM'!$H$2:$M$2,1,_xlpm.pos)),"")),"")</f>
        <v>F6</v>
      </c>
      <c r="I106" s="3">
        <f>IFERROR(_xlfn.XLOOKUP(B106,'[1]Toda FM'!$A:$A,'[1]Toda FM'!$R:$R,""),"")</f>
        <v>0</v>
      </c>
    </row>
    <row r="107" spans="1:9" x14ac:dyDescent="0.25">
      <c r="A107" s="9" t="s">
        <v>103</v>
      </c>
      <c r="B107" s="9" t="s">
        <v>2</v>
      </c>
      <c r="C107" s="8">
        <v>82.136250000000004</v>
      </c>
      <c r="D107" s="7">
        <v>70.875</v>
      </c>
      <c r="E107" s="11">
        <f t="shared" si="3"/>
        <v>4.8518518518518503E-2</v>
      </c>
      <c r="F107" s="10">
        <v>74.313749999999999</v>
      </c>
      <c r="G107" s="4">
        <f>IFERROR(_xlfn.XLOOKUP(B107,'[1]Toda FM'!$A:$A,'[1]Toda FM'!$Q:$Q,""),"")</f>
        <v>0.05</v>
      </c>
      <c r="H107" s="3" t="str" cm="1">
        <f t="array" ref="H107">IFERROR(_xlfn.LET(_xlpm.rw,MATCH(B107,'[1]Toda FM'!$A:$A,0),_xlpm.vals,INDEX('[1]Toda FM'!$H:$M,_xlpm.rw,0),_xlpm.diffs,ABS(_xlpm.vals-F107),_xlpm.mn,MIN(_xlpm.diffs),_xlpm.pos,MATCH(_xlpm.mn,_xlpm.diffs,0),IF(_xlpm.mn/F107&lt;=0.02,TRIM(INDEX('[1]Toda FM'!$H$2:$M$2,1,_xlpm.pos)),"")),"")</f>
        <v>F6</v>
      </c>
      <c r="I107" s="3">
        <f>IFERROR(_xlfn.XLOOKUP(B107,'[1]Toda FM'!$A:$A,'[1]Toda FM'!$R:$R,""),"")</f>
        <v>0</v>
      </c>
    </row>
    <row r="108" spans="1:9" x14ac:dyDescent="0.25">
      <c r="A108" s="9" t="s">
        <v>100</v>
      </c>
      <c r="B108" s="9" t="s">
        <v>102</v>
      </c>
      <c r="C108" s="8">
        <v>168.19</v>
      </c>
      <c r="D108" s="7">
        <v>125.1</v>
      </c>
      <c r="E108" s="11">
        <f t="shared" si="3"/>
        <v>0.10000000000000016</v>
      </c>
      <c r="F108" s="10">
        <v>137.61000000000001</v>
      </c>
      <c r="G108" s="4">
        <f>IFERROR(_xlfn.XLOOKUP(B108,'[1]Toda FM'!$A:$A,'[1]Toda FM'!$Q:$Q,""),"")</f>
        <v>0.1</v>
      </c>
      <c r="H108" s="3" t="str" cm="1">
        <f t="array" ref="H108">IFERROR(_xlfn.LET(_xlpm.rw,MATCH(B108,'[1]Toda FM'!$A:$A,0),_xlpm.vals,INDEX('[1]Toda FM'!$H:$M,_xlpm.rw,0),_xlpm.diffs,ABS(_xlpm.vals-F108),_xlpm.mn,MIN(_xlpm.diffs),_xlpm.pos,MATCH(_xlpm.mn,_xlpm.diffs,0),IF(_xlpm.mn/F108&lt;=0.02,TRIM(INDEX('[1]Toda FM'!$H$2:$M$2,1,_xlpm.pos)),"")),"")</f>
        <v>F8</v>
      </c>
      <c r="I108" s="3">
        <f>IFERROR(_xlfn.XLOOKUP(B108,'[1]Toda FM'!$A:$A,'[1]Toda FM'!$R:$R,""),"")</f>
        <v>0</v>
      </c>
    </row>
    <row r="109" spans="1:9" x14ac:dyDescent="0.25">
      <c r="A109" s="9" t="s">
        <v>100</v>
      </c>
      <c r="B109" s="9" t="s">
        <v>101</v>
      </c>
      <c r="C109" s="8">
        <v>99.5</v>
      </c>
      <c r="D109" s="7">
        <v>89.55</v>
      </c>
      <c r="E109" s="11">
        <f t="shared" si="3"/>
        <v>5.5611390284757166E-2</v>
      </c>
      <c r="F109" s="10">
        <v>94.53</v>
      </c>
      <c r="G109" s="4">
        <f>IFERROR(_xlfn.XLOOKUP(B109,'[1]Toda FM'!$A:$A,'[1]Toda FM'!$Q:$Q,""),"")</f>
        <v>0</v>
      </c>
      <c r="H109" s="3" t="str" cm="1">
        <f t="array" ref="H109">IFERROR(_xlfn.LET(_xlpm.rw,MATCH(B109,'[1]Toda FM'!$A:$A,0),_xlpm.vals,INDEX('[1]Toda FM'!$H:$M,_xlpm.rw,0),_xlpm.diffs,ABS(_xlpm.vals-F109),_xlpm.mn,MIN(_xlpm.diffs),_xlpm.pos,MATCH(_xlpm.mn,_xlpm.diffs,0),IF(_xlpm.mn/F109&lt;=0.02,TRIM(INDEX('[1]Toda FM'!$H$2:$M$2,1,_xlpm.pos)),"")),"")</f>
        <v>F6</v>
      </c>
      <c r="I109" s="3">
        <f>IFERROR(_xlfn.XLOOKUP(B109,'[1]Toda FM'!$A:$A,'[1]Toda FM'!$R:$R,""),"")</f>
        <v>0</v>
      </c>
    </row>
    <row r="110" spans="1:9" x14ac:dyDescent="0.25">
      <c r="A110" s="9" t="s">
        <v>100</v>
      </c>
      <c r="B110" s="9" t="s">
        <v>92</v>
      </c>
      <c r="C110" s="8">
        <v>93.3</v>
      </c>
      <c r="D110" s="7">
        <v>83.97</v>
      </c>
      <c r="E110" s="11">
        <f t="shared" si="3"/>
        <v>0.11111111111111109</v>
      </c>
      <c r="F110" s="10">
        <v>93.3</v>
      </c>
      <c r="G110" s="4">
        <f>IFERROR(_xlfn.XLOOKUP(B110,'[1]Toda FM'!$A:$A,'[1]Toda FM'!$Q:$Q,""),"")</f>
        <v>0</v>
      </c>
      <c r="H110" s="3" t="str" cm="1">
        <f t="array" ref="H110">IFERROR(_xlfn.LET(_xlpm.rw,MATCH(B110,'[1]Toda FM'!$A:$A,0),_xlpm.vals,INDEX('[1]Toda FM'!$H:$M,_xlpm.rw,0),_xlpm.diffs,ABS(_xlpm.vals-F110),_xlpm.mn,MIN(_xlpm.diffs),_xlpm.pos,MATCH(_xlpm.mn,_xlpm.diffs,0),IF(_xlpm.mn/F110&lt;=0.02,TRIM(INDEX('[1]Toda FM'!$H$2:$M$2,1,_xlpm.pos)),"")),"")</f>
        <v>F5</v>
      </c>
      <c r="I110" s="3">
        <f>IFERROR(_xlfn.XLOOKUP(B110,'[1]Toda FM'!$A:$A,'[1]Toda FM'!$R:$R,""),"")</f>
        <v>0</v>
      </c>
    </row>
    <row r="111" spans="1:9" x14ac:dyDescent="0.25">
      <c r="A111" s="9" t="s">
        <v>100</v>
      </c>
      <c r="B111" s="9" t="s">
        <v>67</v>
      </c>
      <c r="C111" s="8">
        <v>101.64</v>
      </c>
      <c r="D111" s="7">
        <v>75.599999999999994</v>
      </c>
      <c r="E111" s="11">
        <f t="shared" si="3"/>
        <v>0.10000000000000003</v>
      </c>
      <c r="F111" s="10">
        <v>83.16</v>
      </c>
      <c r="G111" s="4">
        <f>IFERROR(_xlfn.XLOOKUP(B111,'[1]Toda FM'!$A:$A,'[1]Toda FM'!$Q:$Q,""),"")</f>
        <v>0.1</v>
      </c>
      <c r="H111" s="3" t="str" cm="1">
        <f t="array" ref="H111">IFERROR(_xlfn.LET(_xlpm.rw,MATCH(B111,'[1]Toda FM'!$A:$A,0),_xlpm.vals,INDEX('[1]Toda FM'!$H:$M,_xlpm.rw,0),_xlpm.diffs,ABS(_xlpm.vals-F111),_xlpm.mn,MIN(_xlpm.diffs),_xlpm.pos,MATCH(_xlpm.mn,_xlpm.diffs,0),IF(_xlpm.mn/F111&lt;=0.02,TRIM(INDEX('[1]Toda FM'!$H$2:$M$2,1,_xlpm.pos)),"")),"")</f>
        <v>F8</v>
      </c>
      <c r="I111" s="3">
        <f>IFERROR(_xlfn.XLOOKUP(B111,'[1]Toda FM'!$A:$A,'[1]Toda FM'!$R:$R,""),"")</f>
        <v>0</v>
      </c>
    </row>
    <row r="112" spans="1:9" x14ac:dyDescent="0.25">
      <c r="A112" s="9" t="s">
        <v>99</v>
      </c>
      <c r="B112" s="9" t="s">
        <v>82</v>
      </c>
      <c r="C112" s="8">
        <v>74</v>
      </c>
      <c r="D112" s="7">
        <v>70.3</v>
      </c>
      <c r="E112" s="11">
        <f t="shared" si="3"/>
        <v>5.2631578947368467E-2</v>
      </c>
      <c r="F112" s="10">
        <v>74</v>
      </c>
      <c r="G112" s="4">
        <f>IFERROR(_xlfn.XLOOKUP(B112,'[1]Toda FM'!$A:$A,'[1]Toda FM'!$Q:$Q,""),"")</f>
        <v>0</v>
      </c>
      <c r="H112" s="3" t="str" cm="1">
        <f t="array" ref="H112">IFERROR(_xlfn.LET(_xlpm.rw,MATCH(B112,'[1]Toda FM'!$A:$A,0),_xlpm.vals,INDEX('[1]Toda FM'!$H:$M,_xlpm.rw,0),_xlpm.diffs,ABS(_xlpm.vals-F112),_xlpm.mn,MIN(_xlpm.diffs),_xlpm.pos,MATCH(_xlpm.mn,_xlpm.diffs,0),IF(_xlpm.mn/F112&lt;=0.02,TRIM(INDEX('[1]Toda FM'!$H$2:$M$2,1,_xlpm.pos)),"")),"")</f>
        <v>F5</v>
      </c>
      <c r="I112" s="3">
        <f>IFERROR(_xlfn.XLOOKUP(B112,'[1]Toda FM'!$A:$A,'[1]Toda FM'!$R:$R,""),"")</f>
        <v>0</v>
      </c>
    </row>
    <row r="113" spans="1:9" x14ac:dyDescent="0.25">
      <c r="A113" s="9" t="s">
        <v>98</v>
      </c>
      <c r="B113" s="9" t="s">
        <v>97</v>
      </c>
      <c r="C113" s="8">
        <v>208.3725</v>
      </c>
      <c r="D113" s="7">
        <v>160.65</v>
      </c>
      <c r="E113" s="11">
        <f t="shared" si="3"/>
        <v>4.9999999999999989E-2</v>
      </c>
      <c r="F113" s="10">
        <v>168.6825</v>
      </c>
      <c r="G113" s="4">
        <f>IFERROR(_xlfn.XLOOKUP(B113,'[1]Toda FM'!$A:$A,'[1]Toda FM'!$Q:$Q,""),"")</f>
        <v>0.05</v>
      </c>
      <c r="H113" s="3" t="str" cm="1">
        <f t="array" ref="H113">IFERROR(_xlfn.LET(_xlpm.rw,MATCH(B113,'[1]Toda FM'!$A:$A,0),_xlpm.vals,INDEX('[1]Toda FM'!$H:$M,_xlpm.rw,0),_xlpm.diffs,ABS(_xlpm.vals-F113),_xlpm.mn,MIN(_xlpm.diffs),_xlpm.pos,MATCH(_xlpm.mn,_xlpm.diffs,0),IF(_xlpm.mn/F113&lt;=0.02,TRIM(INDEX('[1]Toda FM'!$H$2:$M$2,1,_xlpm.pos)),"")),"")</f>
        <v>F10</v>
      </c>
      <c r="I113" s="3" t="str">
        <f>IFERROR(_xlfn.XLOOKUP(B113,'[1]Toda FM'!$A:$A,'[1]Toda FM'!$R:$R,""),"")</f>
        <v>REVOLUTION</v>
      </c>
    </row>
    <row r="114" spans="1:9" x14ac:dyDescent="0.25">
      <c r="A114" s="9" t="s">
        <v>96</v>
      </c>
      <c r="B114" s="9" t="s">
        <v>3</v>
      </c>
      <c r="C114" s="8">
        <v>74.5</v>
      </c>
      <c r="D114" s="7">
        <v>60.75</v>
      </c>
      <c r="E114" s="11">
        <f t="shared" si="3"/>
        <v>4.246913580246911E-2</v>
      </c>
      <c r="F114" s="10">
        <v>63.33</v>
      </c>
      <c r="G114" s="4">
        <f>IFERROR(_xlfn.XLOOKUP(B114,'[1]Toda FM'!$A:$A,'[1]Toda FM'!$Q:$Q,""),"")</f>
        <v>0</v>
      </c>
      <c r="H114" s="3" t="str" cm="1">
        <f t="array" ref="H114">IFERROR(_xlfn.LET(_xlpm.rw,MATCH(B114,'[1]Toda FM'!$A:$A,0),_xlpm.vals,INDEX('[1]Toda FM'!$H:$M,_xlpm.rw,0),_xlpm.diffs,ABS(_xlpm.vals-F114),_xlpm.mn,MIN(_xlpm.diffs),_xlpm.pos,MATCH(_xlpm.mn,_xlpm.diffs,0),IF(_xlpm.mn/F114&lt;=0.02,TRIM(INDEX('[1]Toda FM'!$H$2:$M$2,1,_xlpm.pos)),"")),"")</f>
        <v>F10</v>
      </c>
      <c r="I114" s="3">
        <f>IFERROR(_xlfn.XLOOKUP(B114,'[1]Toda FM'!$A:$A,'[1]Toda FM'!$R:$R,""),"")</f>
        <v>0</v>
      </c>
    </row>
    <row r="115" spans="1:9" x14ac:dyDescent="0.25">
      <c r="A115" s="9" t="s">
        <v>95</v>
      </c>
      <c r="B115" s="9" t="s">
        <v>36</v>
      </c>
      <c r="C115" s="8">
        <v>69</v>
      </c>
      <c r="D115" s="7">
        <v>65.55</v>
      </c>
      <c r="E115" s="11">
        <f t="shared" si="3"/>
        <v>0</v>
      </c>
      <c r="F115" s="10">
        <v>65.55</v>
      </c>
      <c r="G115" s="4">
        <f>IFERROR(_xlfn.XLOOKUP(B115,'[1]Toda FM'!$A:$A,'[1]Toda FM'!$Q:$Q,""),"")</f>
        <v>0</v>
      </c>
      <c r="H115" s="3" t="str" cm="1">
        <f t="array" ref="H115">IFERROR(_xlfn.LET(_xlpm.rw,MATCH(B115,'[1]Toda FM'!$A:$A,0),_xlpm.vals,INDEX('[1]Toda FM'!$H:$M,_xlpm.rw,0),_xlpm.diffs,ABS(_xlpm.vals-F115),_xlpm.mn,MIN(_xlpm.diffs),_xlpm.pos,MATCH(_xlpm.mn,_xlpm.diffs,0),IF(_xlpm.mn/F115&lt;=0.02,TRIM(INDEX('[1]Toda FM'!$H$2:$M$2,1,_xlpm.pos)),"")),"")</f>
        <v>F6</v>
      </c>
      <c r="I115" s="3">
        <f>IFERROR(_xlfn.XLOOKUP(B115,'[1]Toda FM'!$A:$A,'[1]Toda FM'!$R:$R,""),"")</f>
        <v>0</v>
      </c>
    </row>
    <row r="116" spans="1:9" x14ac:dyDescent="0.25">
      <c r="A116" s="9" t="s">
        <v>88</v>
      </c>
      <c r="B116" s="9" t="s">
        <v>94</v>
      </c>
      <c r="C116" s="8">
        <v>82.1</v>
      </c>
      <c r="D116" s="7">
        <v>73.89</v>
      </c>
      <c r="E116" s="11">
        <f t="shared" si="3"/>
        <v>0</v>
      </c>
      <c r="F116" s="10">
        <v>73.89</v>
      </c>
      <c r="G116" s="4">
        <f>IFERROR(_xlfn.XLOOKUP(B116,'[1]Toda FM'!$A:$A,'[1]Toda FM'!$Q:$Q,""),"")</f>
        <v>0</v>
      </c>
      <c r="H116" s="3" t="str" cm="1">
        <f t="array" ref="H116">IFERROR(_xlfn.LET(_xlpm.rw,MATCH(B116,'[1]Toda FM'!$A:$A,0),_xlpm.vals,INDEX('[1]Toda FM'!$H:$M,_xlpm.rw,0),_xlpm.diffs,ABS(_xlpm.vals-F116),_xlpm.mn,MIN(_xlpm.diffs),_xlpm.pos,MATCH(_xlpm.mn,_xlpm.diffs,0),IF(_xlpm.mn/F116&lt;=0.02,TRIM(INDEX('[1]Toda FM'!$H$2:$M$2,1,_xlpm.pos)),"")),"")</f>
        <v>F8</v>
      </c>
      <c r="I116" s="3">
        <f>IFERROR(_xlfn.XLOOKUP(B116,'[1]Toda FM'!$A:$A,'[1]Toda FM'!$R:$R,""),"")</f>
        <v>0</v>
      </c>
    </row>
    <row r="117" spans="1:9" x14ac:dyDescent="0.25">
      <c r="A117" s="9" t="s">
        <v>88</v>
      </c>
      <c r="B117" s="9" t="s">
        <v>93</v>
      </c>
      <c r="C117" s="8">
        <v>74.37</v>
      </c>
      <c r="D117" s="7">
        <v>69.5</v>
      </c>
      <c r="E117" s="11">
        <f t="shared" si="3"/>
        <v>1.6568345323740987E-2</v>
      </c>
      <c r="F117" s="10">
        <v>70.651499999999999</v>
      </c>
      <c r="G117" s="4">
        <f>IFERROR(_xlfn.XLOOKUP(B117,'[1]Toda FM'!$A:$A,'[1]Toda FM'!$Q:$Q,""),"")</f>
        <v>0</v>
      </c>
      <c r="H117" s="3" t="str" cm="1">
        <f t="array" ref="H117">IFERROR(_xlfn.LET(_xlpm.rw,MATCH(B117,'[1]Toda FM'!$A:$A,0),_xlpm.vals,INDEX('[1]Toda FM'!$H:$M,_xlpm.rw,0),_xlpm.diffs,ABS(_xlpm.vals-F117),_xlpm.mn,MIN(_xlpm.diffs),_xlpm.pos,MATCH(_xlpm.mn,_xlpm.diffs,0),IF(_xlpm.mn/F117&lt;=0.02,TRIM(INDEX('[1]Toda FM'!$H$2:$M$2,1,_xlpm.pos)),"")),"")</f>
        <v>F6</v>
      </c>
      <c r="I117" s="3" t="str">
        <f>IFERROR(_xlfn.XLOOKUP(B117,'[1]Toda FM'!$A:$A,'[1]Toda FM'!$R:$R,""),"")</f>
        <v>WATER 
REPELLENT</v>
      </c>
    </row>
    <row r="118" spans="1:9" x14ac:dyDescent="0.25">
      <c r="A118" s="9" t="s">
        <v>88</v>
      </c>
      <c r="B118" s="9" t="s">
        <v>20</v>
      </c>
      <c r="C118" s="8">
        <v>72.974999999999994</v>
      </c>
      <c r="D118" s="7">
        <v>69.5</v>
      </c>
      <c r="E118" s="11">
        <f t="shared" si="3"/>
        <v>3.949999999999998E-2</v>
      </c>
      <c r="F118" s="10">
        <v>72.245249999999999</v>
      </c>
      <c r="G118" s="4">
        <f>IFERROR(_xlfn.XLOOKUP(B118,'[1]Toda FM'!$A:$A,'[1]Toda FM'!$Q:$Q,""),"")</f>
        <v>0.05</v>
      </c>
      <c r="H118" s="3" t="str" cm="1">
        <f t="array" ref="H118">IFERROR(_xlfn.LET(_xlpm.rw,MATCH(B118,'[1]Toda FM'!$A:$A,0),_xlpm.vals,INDEX('[1]Toda FM'!$H:$M,_xlpm.rw,0),_xlpm.diffs,ABS(_xlpm.vals-F118),_xlpm.mn,MIN(_xlpm.diffs),_xlpm.pos,MATCH(_xlpm.mn,_xlpm.diffs,0),IF(_xlpm.mn/F118&lt;=0.02,TRIM(INDEX('[1]Toda FM'!$H$2:$M$2,1,_xlpm.pos)),"")),"")</f>
        <v>F9</v>
      </c>
      <c r="I118" s="3">
        <f>IFERROR(_xlfn.XLOOKUP(B118,'[1]Toda FM'!$A:$A,'[1]Toda FM'!$R:$R,""),"")</f>
        <v>0</v>
      </c>
    </row>
    <row r="119" spans="1:9" x14ac:dyDescent="0.25">
      <c r="A119" s="9" t="s">
        <v>88</v>
      </c>
      <c r="B119" s="9" t="s">
        <v>92</v>
      </c>
      <c r="C119" s="8">
        <v>93.3</v>
      </c>
      <c r="D119" s="7">
        <v>88.42</v>
      </c>
      <c r="E119" s="11">
        <f t="shared" si="3"/>
        <v>2.4315765663877336E-3</v>
      </c>
      <c r="F119" s="10">
        <v>88.635000000000005</v>
      </c>
      <c r="G119" s="4">
        <f>IFERROR(_xlfn.XLOOKUP(B119,'[1]Toda FM'!$A:$A,'[1]Toda FM'!$Q:$Q,""),"")</f>
        <v>0</v>
      </c>
      <c r="H119" s="3" t="str" cm="1">
        <f t="array" ref="H119">IFERROR(_xlfn.LET(_xlpm.rw,MATCH(B119,'[1]Toda FM'!$A:$A,0),_xlpm.vals,INDEX('[1]Toda FM'!$H:$M,_xlpm.rw,0),_xlpm.diffs,ABS(_xlpm.vals-F119),_xlpm.mn,MIN(_xlpm.diffs),_xlpm.pos,MATCH(_xlpm.mn,_xlpm.diffs,0),IF(_xlpm.mn/F119&lt;=0.02,TRIM(INDEX('[1]Toda FM'!$H$2:$M$2,1,_xlpm.pos)),"")),"")</f>
        <v>F6</v>
      </c>
      <c r="I119" s="3">
        <f>IFERROR(_xlfn.XLOOKUP(B119,'[1]Toda FM'!$A:$A,'[1]Toda FM'!$R:$R,""),"")</f>
        <v>0</v>
      </c>
    </row>
    <row r="120" spans="1:9" x14ac:dyDescent="0.25">
      <c r="A120" s="9" t="s">
        <v>88</v>
      </c>
      <c r="B120" s="9" t="s">
        <v>91</v>
      </c>
      <c r="C120" s="8">
        <v>69</v>
      </c>
      <c r="D120" s="7">
        <v>65.55</v>
      </c>
      <c r="E120" s="11">
        <f t="shared" si="3"/>
        <v>0</v>
      </c>
      <c r="F120" s="10">
        <v>65.55</v>
      </c>
      <c r="G120" s="4">
        <f>IFERROR(_xlfn.XLOOKUP(B120,'[1]Toda FM'!$A:$A,'[1]Toda FM'!$Q:$Q,""),"")</f>
        <v>0</v>
      </c>
      <c r="H120" s="3" t="str" cm="1">
        <f t="array" ref="H120">IFERROR(_xlfn.LET(_xlpm.rw,MATCH(B120,'[1]Toda FM'!$A:$A,0),_xlpm.vals,INDEX('[1]Toda FM'!$H:$M,_xlpm.rw,0),_xlpm.diffs,ABS(_xlpm.vals-F120),_xlpm.mn,MIN(_xlpm.diffs),_xlpm.pos,MATCH(_xlpm.mn,_xlpm.diffs,0),IF(_xlpm.mn/F120&lt;=0.02,TRIM(INDEX('[1]Toda FM'!$H$2:$M$2,1,_xlpm.pos)),"")),"")</f>
        <v>F6</v>
      </c>
      <c r="I120" s="3">
        <f>IFERROR(_xlfn.XLOOKUP(B120,'[1]Toda FM'!$A:$A,'[1]Toda FM'!$R:$R,""),"")</f>
        <v>0</v>
      </c>
    </row>
    <row r="121" spans="1:9" x14ac:dyDescent="0.25">
      <c r="A121" s="9" t="s">
        <v>88</v>
      </c>
      <c r="B121" s="9" t="s">
        <v>90</v>
      </c>
      <c r="C121" s="8">
        <v>90.825000000000003</v>
      </c>
      <c r="D121" s="7">
        <v>77.849999999999994</v>
      </c>
      <c r="E121" s="11">
        <f t="shared" si="3"/>
        <v>5.0000000000000162E-2</v>
      </c>
      <c r="F121" s="10">
        <v>81.742500000000007</v>
      </c>
      <c r="G121" s="4">
        <f>IFERROR(_xlfn.XLOOKUP(B121,'[1]Toda FM'!$A:$A,'[1]Toda FM'!$Q:$Q,""),"")</f>
        <v>0.05</v>
      </c>
      <c r="H121" s="3" t="str" cm="1">
        <f t="array" ref="H121">IFERROR(_xlfn.LET(_xlpm.rw,MATCH(B121,'[1]Toda FM'!$A:$A,0),_xlpm.vals,INDEX('[1]Toda FM'!$H:$M,_xlpm.rw,0),_xlpm.diffs,ABS(_xlpm.vals-F121),_xlpm.mn,MIN(_xlpm.diffs),_xlpm.pos,MATCH(_xlpm.mn,_xlpm.diffs,0),IF(_xlpm.mn/F121&lt;=0.02,TRIM(INDEX('[1]Toda FM'!$H$2:$M$2,1,_xlpm.pos)),"")),"")</f>
        <v>F8</v>
      </c>
      <c r="I121" s="3">
        <f>IFERROR(_xlfn.XLOOKUP(B121,'[1]Toda FM'!$A:$A,'[1]Toda FM'!$R:$R,""),"")</f>
        <v>0</v>
      </c>
    </row>
    <row r="122" spans="1:9" x14ac:dyDescent="0.25">
      <c r="A122" s="9" t="s">
        <v>88</v>
      </c>
      <c r="B122" s="9" t="s">
        <v>4</v>
      </c>
      <c r="C122" s="8">
        <v>120.45</v>
      </c>
      <c r="D122" s="7">
        <v>104.3</v>
      </c>
      <c r="E122" s="11">
        <f t="shared" si="3"/>
        <v>9.7099712368168722E-2</v>
      </c>
      <c r="F122" s="10">
        <v>114.42749999999999</v>
      </c>
      <c r="G122" s="4">
        <f>IFERROR(_xlfn.XLOOKUP(B122,'[1]Toda FM'!$A:$A,'[1]Toda FM'!$Q:$Q,""),"")</f>
        <v>0.1</v>
      </c>
      <c r="H122" s="3" t="str" cm="1">
        <f t="array" ref="H122">IFERROR(_xlfn.LET(_xlpm.rw,MATCH(B122,'[1]Toda FM'!$A:$A,0),_xlpm.vals,INDEX('[1]Toda FM'!$H:$M,_xlpm.rw,0),_xlpm.diffs,ABS(_xlpm.vals-F122),_xlpm.mn,MIN(_xlpm.diffs),_xlpm.pos,MATCH(_xlpm.mn,_xlpm.diffs,0),IF(_xlpm.mn/F122&lt;=0.02,TRIM(INDEX('[1]Toda FM'!$H$2:$M$2,1,_xlpm.pos)),"")),"")</f>
        <v>F6</v>
      </c>
      <c r="I122" s="3">
        <f>IFERROR(_xlfn.XLOOKUP(B122,'[1]Toda FM'!$A:$A,'[1]Toda FM'!$R:$R,""),"")</f>
        <v>0</v>
      </c>
    </row>
    <row r="123" spans="1:9" x14ac:dyDescent="0.25">
      <c r="A123" s="9" t="s">
        <v>88</v>
      </c>
      <c r="B123" s="9" t="s">
        <v>89</v>
      </c>
      <c r="C123" s="8">
        <v>82.95</v>
      </c>
      <c r="D123" s="7">
        <v>71.099999999999994</v>
      </c>
      <c r="E123" s="11">
        <f t="shared" si="3"/>
        <v>5.00000000000001E-2</v>
      </c>
      <c r="F123" s="10">
        <v>74.655000000000001</v>
      </c>
      <c r="G123" s="4">
        <f>IFERROR(_xlfn.XLOOKUP(B123,'[1]Toda FM'!$A:$A,'[1]Toda FM'!$Q:$Q,""),"")</f>
        <v>0.05</v>
      </c>
      <c r="H123" s="3" t="str" cm="1">
        <f t="array" ref="H123">IFERROR(_xlfn.LET(_xlpm.rw,MATCH(B123,'[1]Toda FM'!$A:$A,0),_xlpm.vals,INDEX('[1]Toda FM'!$H:$M,_xlpm.rw,0),_xlpm.diffs,ABS(_xlpm.vals-F123),_xlpm.mn,MIN(_xlpm.diffs),_xlpm.pos,MATCH(_xlpm.mn,_xlpm.diffs,0),IF(_xlpm.mn/F123&lt;=0.02,TRIM(INDEX('[1]Toda FM'!$H$2:$M$2,1,_xlpm.pos)),"")),"")</f>
        <v>F8</v>
      </c>
      <c r="I123" s="3">
        <f>IFERROR(_xlfn.XLOOKUP(B123,'[1]Toda FM'!$A:$A,'[1]Toda FM'!$R:$R,""),"")</f>
        <v>0</v>
      </c>
    </row>
    <row r="124" spans="1:9" x14ac:dyDescent="0.25">
      <c r="A124" s="9" t="s">
        <v>88</v>
      </c>
      <c r="B124" s="9" t="s">
        <v>2</v>
      </c>
      <c r="C124" s="8">
        <v>78.224999999999994</v>
      </c>
      <c r="D124" s="7">
        <v>67.05</v>
      </c>
      <c r="E124" s="11">
        <f t="shared" si="3"/>
        <v>5.0000000000000093E-2</v>
      </c>
      <c r="F124" s="10">
        <v>70.402500000000003</v>
      </c>
      <c r="G124" s="4">
        <f>IFERROR(_xlfn.XLOOKUP(B124,'[1]Toda FM'!$A:$A,'[1]Toda FM'!$Q:$Q,""),"")</f>
        <v>0.05</v>
      </c>
      <c r="H124" s="3" t="str" cm="1">
        <f t="array" ref="H124">IFERROR(_xlfn.LET(_xlpm.rw,MATCH(B124,'[1]Toda FM'!$A:$A,0),_xlpm.vals,INDEX('[1]Toda FM'!$H:$M,_xlpm.rw,0),_xlpm.diffs,ABS(_xlpm.vals-F124),_xlpm.mn,MIN(_xlpm.diffs),_xlpm.pos,MATCH(_xlpm.mn,_xlpm.diffs,0),IF(_xlpm.mn/F124&lt;=0.02,TRIM(INDEX('[1]Toda FM'!$H$2:$M$2,1,_xlpm.pos)),"")),"")</f>
        <v>F8</v>
      </c>
      <c r="I124" s="3">
        <f>IFERROR(_xlfn.XLOOKUP(B124,'[1]Toda FM'!$A:$A,'[1]Toda FM'!$R:$R,""),"")</f>
        <v>0</v>
      </c>
    </row>
    <row r="125" spans="1:9" x14ac:dyDescent="0.25">
      <c r="A125" s="9" t="s">
        <v>88</v>
      </c>
      <c r="B125" s="9" t="s">
        <v>44</v>
      </c>
      <c r="C125" s="8">
        <v>77.7</v>
      </c>
      <c r="D125" s="7">
        <v>70.3</v>
      </c>
      <c r="E125" s="11">
        <f t="shared" si="3"/>
        <v>5.000000000000001E-2</v>
      </c>
      <c r="F125" s="10">
        <v>73.814999999999998</v>
      </c>
      <c r="G125" s="4">
        <f>IFERROR(_xlfn.XLOOKUP(B125,'[1]Toda FM'!$A:$A,'[1]Toda FM'!$Q:$Q,""),"")</f>
        <v>0.05</v>
      </c>
      <c r="H125" s="3" t="str" cm="1">
        <f t="array" ref="H125">IFERROR(_xlfn.LET(_xlpm.rw,MATCH(B125,'[1]Toda FM'!$A:$A,0),_xlpm.vals,INDEX('[1]Toda FM'!$H:$M,_xlpm.rw,0),_xlpm.diffs,ABS(_xlpm.vals-F125),_xlpm.mn,MIN(_xlpm.diffs),_xlpm.pos,MATCH(_xlpm.mn,_xlpm.diffs,0),IF(_xlpm.mn/F125&lt;=0.02,TRIM(INDEX('[1]Toda FM'!$H$2:$M$2,1,_xlpm.pos)),"")),"")</f>
        <v>F6</v>
      </c>
      <c r="I125" s="3">
        <f>IFERROR(_xlfn.XLOOKUP(B125,'[1]Toda FM'!$A:$A,'[1]Toda FM'!$R:$R,""),"")</f>
        <v>0</v>
      </c>
    </row>
    <row r="126" spans="1:9" x14ac:dyDescent="0.25">
      <c r="A126" s="9" t="s">
        <v>86</v>
      </c>
      <c r="B126" s="9" t="s">
        <v>29</v>
      </c>
      <c r="C126" s="8">
        <v>97.9</v>
      </c>
      <c r="D126" s="7">
        <v>84.5</v>
      </c>
      <c r="E126" s="11">
        <f t="shared" si="3"/>
        <v>0.10065088757396444</v>
      </c>
      <c r="F126" s="10">
        <v>93.004999999999995</v>
      </c>
      <c r="G126" s="4">
        <f>IFERROR(_xlfn.XLOOKUP(B126,'[1]Toda FM'!$A:$A,'[1]Toda FM'!$Q:$Q,""),"")</f>
        <v>0.1</v>
      </c>
      <c r="H126" s="3" t="str" cm="1">
        <f t="array" ref="H126">IFERROR(_xlfn.LET(_xlpm.rw,MATCH(B126,'[1]Toda FM'!$A:$A,0),_xlpm.vals,INDEX('[1]Toda FM'!$H:$M,_xlpm.rw,0),_xlpm.diffs,ABS(_xlpm.vals-F126),_xlpm.mn,MIN(_xlpm.diffs),_xlpm.pos,MATCH(_xlpm.mn,_xlpm.diffs,0),IF(_xlpm.mn/F126&lt;=0.02,TRIM(INDEX('[1]Toda FM'!$H$2:$M$2,1,_xlpm.pos)),"")),"")</f>
        <v>F6</v>
      </c>
      <c r="I126" s="3" t="str">
        <f>IFERROR(_xlfn.XLOOKUP(B126,'[1]Toda FM'!$A:$A,'[1]Toda FM'!$R:$R,""),"")</f>
        <v>LONG LIFE
FEB 2026</v>
      </c>
    </row>
    <row r="127" spans="1:9" x14ac:dyDescent="0.25">
      <c r="A127" s="9" t="s">
        <v>86</v>
      </c>
      <c r="B127" s="9" t="s">
        <v>87</v>
      </c>
      <c r="C127" s="8">
        <v>174.9</v>
      </c>
      <c r="D127" s="7">
        <v>143.1</v>
      </c>
      <c r="E127" s="11">
        <f t="shared" si="3"/>
        <v>3.8923829489867182E-2</v>
      </c>
      <c r="F127" s="10">
        <v>148.66999999999999</v>
      </c>
      <c r="G127" s="4">
        <f>IFERROR(_xlfn.XLOOKUP(B127,'[1]Toda FM'!$A:$A,'[1]Toda FM'!$Q:$Q,""),"")</f>
        <v>0.1</v>
      </c>
      <c r="H127" s="3" t="str" cm="1">
        <f t="array" ref="H127">IFERROR(_xlfn.LET(_xlpm.rw,MATCH(B127,'[1]Toda FM'!$A:$A,0),_xlpm.vals,INDEX('[1]Toda FM'!$H:$M,_xlpm.rw,0),_xlpm.diffs,ABS(_xlpm.vals-F127),_xlpm.mn,MIN(_xlpm.diffs),_xlpm.pos,MATCH(_xlpm.mn,_xlpm.diffs,0),IF(_xlpm.mn/F127&lt;=0.02,TRIM(INDEX('[1]Toda FM'!$H$2:$M$2,1,_xlpm.pos)),"")),"")</f>
        <v>F10</v>
      </c>
      <c r="I127" s="3" t="str">
        <f>IFERROR(_xlfn.XLOOKUP(B127,'[1]Toda FM'!$A:$A,'[1]Toda FM'!$R:$R,""),"")</f>
        <v>NOVATEX
FEB 2026</v>
      </c>
    </row>
    <row r="128" spans="1:9" x14ac:dyDescent="0.25">
      <c r="A128" s="9" t="s">
        <v>86</v>
      </c>
      <c r="B128" s="9" t="s">
        <v>85</v>
      </c>
      <c r="C128" s="8">
        <v>82.95</v>
      </c>
      <c r="D128" s="7">
        <v>75.05</v>
      </c>
      <c r="E128" s="11">
        <f t="shared" si="3"/>
        <v>4.9999999999999975E-2</v>
      </c>
      <c r="F128" s="10">
        <v>78.802499999999995</v>
      </c>
      <c r="G128" s="4">
        <f>IFERROR(_xlfn.XLOOKUP(B128,'[1]Toda FM'!$A:$A,'[1]Toda FM'!$Q:$Q,""),"")</f>
        <v>0.05</v>
      </c>
      <c r="H128" s="3" t="str" cm="1">
        <f t="array" ref="H128">IFERROR(_xlfn.LET(_xlpm.rw,MATCH(B128,'[1]Toda FM'!$A:$A,0),_xlpm.vals,INDEX('[1]Toda FM'!$H:$M,_xlpm.rw,0),_xlpm.diffs,ABS(_xlpm.vals-F128),_xlpm.mn,MIN(_xlpm.diffs),_xlpm.pos,MATCH(_xlpm.mn,_xlpm.diffs,0),IF(_xlpm.mn/F128&lt;=0.02,TRIM(INDEX('[1]Toda FM'!$H$2:$M$2,1,_xlpm.pos)),"")),"")</f>
        <v>F6</v>
      </c>
      <c r="I128" s="3">
        <f>IFERROR(_xlfn.XLOOKUP(B128,'[1]Toda FM'!$A:$A,'[1]Toda FM'!$R:$R,""),"")</f>
        <v>0</v>
      </c>
    </row>
    <row r="129" spans="1:9" x14ac:dyDescent="0.25">
      <c r="A129" s="9" t="s">
        <v>83</v>
      </c>
      <c r="B129" s="9" t="s">
        <v>84</v>
      </c>
      <c r="C129" s="8">
        <v>208.95</v>
      </c>
      <c r="D129" s="7">
        <v>179.1</v>
      </c>
      <c r="E129" s="11">
        <f t="shared" si="3"/>
        <v>5.0000000000000072E-2</v>
      </c>
      <c r="F129" s="10">
        <v>188.05500000000001</v>
      </c>
      <c r="G129" s="4">
        <f>IFERROR(_xlfn.XLOOKUP(B129,'[1]Toda FM'!$A:$A,'[1]Toda FM'!$Q:$Q,""),"")</f>
        <v>0.05</v>
      </c>
      <c r="H129" s="3" t="str" cm="1">
        <f t="array" ref="H129">IFERROR(_xlfn.LET(_xlpm.rw,MATCH(B129,'[1]Toda FM'!$A:$A,0),_xlpm.vals,INDEX('[1]Toda FM'!$H:$M,_xlpm.rw,0),_xlpm.diffs,ABS(_xlpm.vals-F129),_xlpm.mn,MIN(_xlpm.diffs),_xlpm.pos,MATCH(_xlpm.mn,_xlpm.diffs,0),IF(_xlpm.mn/F129&lt;=0.02,TRIM(INDEX('[1]Toda FM'!$H$2:$M$2,1,_xlpm.pos)),"")),"")</f>
        <v>F8</v>
      </c>
      <c r="I129" s="3">
        <f>IFERROR(_xlfn.XLOOKUP(B129,'[1]Toda FM'!$A:$A,'[1]Toda FM'!$R:$R,""),"")</f>
        <v>0</v>
      </c>
    </row>
    <row r="130" spans="1:9" x14ac:dyDescent="0.25">
      <c r="A130" s="9" t="s">
        <v>83</v>
      </c>
      <c r="B130" s="9" t="s">
        <v>82</v>
      </c>
      <c r="C130" s="8">
        <v>74</v>
      </c>
      <c r="D130" s="7">
        <v>70.3</v>
      </c>
      <c r="E130" s="11">
        <f t="shared" ref="E130:E142" si="4">IFERROR((F130-D130)/D130,"")</f>
        <v>5.2631578947368467E-2</v>
      </c>
      <c r="F130" s="10">
        <v>74</v>
      </c>
      <c r="G130" s="4">
        <f>IFERROR(_xlfn.XLOOKUP(B130,'[1]Toda FM'!$A:$A,'[1]Toda FM'!$Q:$Q,""),"")</f>
        <v>0</v>
      </c>
      <c r="H130" s="3" t="str" cm="1">
        <f t="array" ref="H130">IFERROR(_xlfn.LET(_xlpm.rw,MATCH(B130,'[1]Toda FM'!$A:$A,0),_xlpm.vals,INDEX('[1]Toda FM'!$H:$M,_xlpm.rw,0),_xlpm.diffs,ABS(_xlpm.vals-F130),_xlpm.mn,MIN(_xlpm.diffs),_xlpm.pos,MATCH(_xlpm.mn,_xlpm.diffs,0),IF(_xlpm.mn/F130&lt;=0.02,TRIM(INDEX('[1]Toda FM'!$H$2:$M$2,1,_xlpm.pos)),"")),"")</f>
        <v>F5</v>
      </c>
      <c r="I130" s="3">
        <f>IFERROR(_xlfn.XLOOKUP(B130,'[1]Toda FM'!$A:$A,'[1]Toda FM'!$R:$R,""),"")</f>
        <v>0</v>
      </c>
    </row>
    <row r="131" spans="1:9" x14ac:dyDescent="0.25">
      <c r="A131" s="9" t="s">
        <v>78</v>
      </c>
      <c r="B131" s="9" t="s">
        <v>18</v>
      </c>
      <c r="C131" s="8">
        <v>62.475000000000001</v>
      </c>
      <c r="D131" s="7">
        <v>54</v>
      </c>
      <c r="E131" s="11">
        <f t="shared" si="4"/>
        <v>9.9074074074074106E-2</v>
      </c>
      <c r="F131" s="10">
        <v>59.35</v>
      </c>
      <c r="G131" s="4">
        <f>IFERROR(_xlfn.XLOOKUP(B131,'[1]Toda FM'!$A:$A,'[1]Toda FM'!$Q:$Q,""),"")</f>
        <v>0.05</v>
      </c>
      <c r="H131" s="3" t="str" cm="1">
        <f t="array" ref="H131">IFERROR(_xlfn.LET(_xlpm.rw,MATCH(B131,'[1]Toda FM'!$A:$A,0),_xlpm.vals,INDEX('[1]Toda FM'!$H:$M,_xlpm.rw,0),_xlpm.diffs,ABS(_xlpm.vals-F131),_xlpm.mn,MIN(_xlpm.diffs),_xlpm.pos,MATCH(_xlpm.mn,_xlpm.diffs,0),IF(_xlpm.mn/F131&lt;=0.02,TRIM(INDEX('[1]Toda FM'!$H$2:$M$2,1,_xlpm.pos)),"")),"")</f>
        <v>F6</v>
      </c>
      <c r="I131" s="3">
        <f>IFERROR(_xlfn.XLOOKUP(B131,'[1]Toda FM'!$A:$A,'[1]Toda FM'!$R:$R,""),"")</f>
        <v>0</v>
      </c>
    </row>
    <row r="132" spans="1:9" x14ac:dyDescent="0.25">
      <c r="A132" s="9" t="s">
        <v>78</v>
      </c>
      <c r="B132" s="9" t="s">
        <v>81</v>
      </c>
      <c r="C132" s="8">
        <v>241.45</v>
      </c>
      <c r="D132" s="7">
        <v>192.06</v>
      </c>
      <c r="E132" s="11">
        <f t="shared" si="4"/>
        <v>6.8572321149640666E-2</v>
      </c>
      <c r="F132" s="10">
        <v>205.23</v>
      </c>
      <c r="G132" s="4">
        <f>IFERROR(_xlfn.XLOOKUP(B132,'[1]Toda FM'!$A:$A,'[1]Toda FM'!$Q:$Q,""),"")</f>
        <v>0.1</v>
      </c>
      <c r="H132" s="3" t="str" cm="1">
        <f t="array" ref="H132">IFERROR(_xlfn.LET(_xlpm.rw,MATCH(B132,'[1]Toda FM'!$A:$A,0),_xlpm.vals,INDEX('[1]Toda FM'!$H:$M,_xlpm.rw,0),_xlpm.diffs,ABS(_xlpm.vals-F132),_xlpm.mn,MIN(_xlpm.diffs),_xlpm.pos,MATCH(_xlpm.mn,_xlpm.diffs,0),IF(_xlpm.mn/F132&lt;=0.02,TRIM(INDEX('[1]Toda FM'!$H$2:$M$2,1,_xlpm.pos)),"")),"")</f>
        <v>F10</v>
      </c>
      <c r="I132" s="3">
        <f>IFERROR(_xlfn.XLOOKUP(B132,'[1]Toda FM'!$A:$A,'[1]Toda FM'!$R:$R,""),"")</f>
        <v>0</v>
      </c>
    </row>
    <row r="133" spans="1:9" x14ac:dyDescent="0.25">
      <c r="A133" s="9" t="s">
        <v>78</v>
      </c>
      <c r="B133" s="9" t="s">
        <v>26</v>
      </c>
      <c r="C133" s="8">
        <v>186.45</v>
      </c>
      <c r="D133" s="7">
        <v>148.32</v>
      </c>
      <c r="E133" s="11">
        <f t="shared" si="4"/>
        <v>6.8500539374325764E-2</v>
      </c>
      <c r="F133" s="10">
        <v>158.47999999999999</v>
      </c>
      <c r="G133" s="4">
        <f>IFERROR(_xlfn.XLOOKUP(B133,'[1]Toda FM'!$A:$A,'[1]Toda FM'!$Q:$Q,""),"")</f>
        <v>0.1</v>
      </c>
      <c r="H133" s="3" t="str" cm="1">
        <f t="array" ref="H133">IFERROR(_xlfn.LET(_xlpm.rw,MATCH(B133,'[1]Toda FM'!$A:$A,0),_xlpm.vals,INDEX('[1]Toda FM'!$H:$M,_xlpm.rw,0),_xlpm.diffs,ABS(_xlpm.vals-F133),_xlpm.mn,MIN(_xlpm.diffs),_xlpm.pos,MATCH(_xlpm.mn,_xlpm.diffs,0),IF(_xlpm.mn/F133&lt;=0.02,TRIM(INDEX('[1]Toda FM'!$H$2:$M$2,1,_xlpm.pos)),"")),"")</f>
        <v>F10</v>
      </c>
      <c r="I133" s="3">
        <f>IFERROR(_xlfn.XLOOKUP(B133,'[1]Toda FM'!$A:$A,'[1]Toda FM'!$R:$R,""),"")</f>
        <v>0</v>
      </c>
    </row>
    <row r="134" spans="1:9" x14ac:dyDescent="0.25">
      <c r="A134" s="9" t="s">
        <v>78</v>
      </c>
      <c r="B134" s="9" t="s">
        <v>80</v>
      </c>
      <c r="C134" s="8">
        <v>219.45</v>
      </c>
      <c r="D134" s="7">
        <v>174.24</v>
      </c>
      <c r="E134" s="11">
        <f t="shared" si="4"/>
        <v>7.0534894398530709E-2</v>
      </c>
      <c r="F134" s="10">
        <v>186.53</v>
      </c>
      <c r="G134" s="4">
        <f>IFERROR(_xlfn.XLOOKUP(B134,'[1]Toda FM'!$A:$A,'[1]Toda FM'!$Q:$Q,""),"")</f>
        <v>0.1</v>
      </c>
      <c r="H134" s="3" t="str" cm="1">
        <f t="array" ref="H134">IFERROR(_xlfn.LET(_xlpm.rw,MATCH(B134,'[1]Toda FM'!$A:$A,0),_xlpm.vals,INDEX('[1]Toda FM'!$H:$M,_xlpm.rw,0),_xlpm.diffs,ABS(_xlpm.vals-F134),_xlpm.mn,MIN(_xlpm.diffs),_xlpm.pos,MATCH(_xlpm.mn,_xlpm.diffs,0),IF(_xlpm.mn/F134&lt;=0.02,TRIM(INDEX('[1]Toda FM'!$H$2:$M$2,1,_xlpm.pos)),"")),"")</f>
        <v>F10</v>
      </c>
      <c r="I134" s="3">
        <f>IFERROR(_xlfn.XLOOKUP(B134,'[1]Toda FM'!$A:$A,'[1]Toda FM'!$R:$R,""),"")</f>
        <v>0</v>
      </c>
    </row>
    <row r="135" spans="1:9" x14ac:dyDescent="0.25">
      <c r="A135" s="9" t="s">
        <v>78</v>
      </c>
      <c r="B135" s="9" t="s">
        <v>79</v>
      </c>
      <c r="C135" s="8">
        <v>236.4495</v>
      </c>
      <c r="D135" s="7">
        <v>197.1</v>
      </c>
      <c r="E135" s="11">
        <f t="shared" si="4"/>
        <v>7.9654997463216734E-2</v>
      </c>
      <c r="F135" s="10">
        <v>212.8</v>
      </c>
      <c r="G135" s="4">
        <f>IFERROR(_xlfn.XLOOKUP(B135,'[1]Toda FM'!$A:$A,'[1]Toda FM'!$Q:$Q,""),"")</f>
        <v>0.05</v>
      </c>
      <c r="H135" s="3" t="str" cm="1">
        <f t="array" ref="H135">IFERROR(_xlfn.LET(_xlpm.rw,MATCH(B135,'[1]Toda FM'!$A:$A,0),_xlpm.vals,INDEX('[1]Toda FM'!$H:$M,_xlpm.rw,0),_xlpm.diffs,ABS(_xlpm.vals-F135),_xlpm.mn,MIN(_xlpm.diffs),_xlpm.pos,MATCH(_xlpm.mn,_xlpm.diffs,0),IF(_xlpm.mn/F135&lt;=0.02,TRIM(INDEX('[1]Toda FM'!$H$2:$M$2,1,_xlpm.pos)),"")),"")</f>
        <v>F8</v>
      </c>
      <c r="I135" s="3" t="str">
        <f>IFERROR(_xlfn.XLOOKUP(B135,'[1]Toda FM'!$A:$A,'[1]Toda FM'!$R:$R,""),"")</f>
        <v>REVOLUTION</v>
      </c>
    </row>
    <row r="136" spans="1:9" x14ac:dyDescent="0.25">
      <c r="A136" s="9" t="s">
        <v>78</v>
      </c>
      <c r="B136" s="9" t="s">
        <v>77</v>
      </c>
      <c r="C136" s="8">
        <v>189.5</v>
      </c>
      <c r="D136" s="7">
        <v>165.6</v>
      </c>
      <c r="E136" s="11">
        <f t="shared" si="4"/>
        <v>8.7137681159420333E-2</v>
      </c>
      <c r="F136" s="10">
        <v>180.03</v>
      </c>
      <c r="G136" s="4">
        <f>IFERROR(_xlfn.XLOOKUP(B136,'[1]Toda FM'!$A:$A,'[1]Toda FM'!$Q:$Q,""),"")</f>
        <v>0</v>
      </c>
      <c r="H136" s="3" t="str" cm="1">
        <f t="array" ref="H136">IFERROR(_xlfn.LET(_xlpm.rw,MATCH(B136,'[1]Toda FM'!$A:$A,0),_xlpm.vals,INDEX('[1]Toda FM'!$H:$M,_xlpm.rw,0),_xlpm.diffs,ABS(_xlpm.vals-F136),_xlpm.mn,MIN(_xlpm.diffs),_xlpm.pos,MATCH(_xlpm.mn,_xlpm.diffs,0),IF(_xlpm.mn/F136&lt;=0.02,TRIM(INDEX('[1]Toda FM'!$H$2:$M$2,1,_xlpm.pos)),"")),"")</f>
        <v>F6</v>
      </c>
      <c r="I136" s="3">
        <f>IFERROR(_xlfn.XLOOKUP(B136,'[1]Toda FM'!$A:$A,'[1]Toda FM'!$R:$R,""),"")</f>
        <v>0</v>
      </c>
    </row>
    <row r="137" spans="1:9" x14ac:dyDescent="0.25">
      <c r="A137" s="9" t="s">
        <v>74</v>
      </c>
      <c r="B137" s="9" t="s">
        <v>76</v>
      </c>
      <c r="C137" s="8">
        <v>124.179</v>
      </c>
      <c r="D137" s="7">
        <v>94.68</v>
      </c>
      <c r="E137" s="11">
        <f t="shared" si="4"/>
        <v>0.11480777355302059</v>
      </c>
      <c r="F137" s="10">
        <v>105.55</v>
      </c>
      <c r="G137" s="4">
        <f>IFERROR(_xlfn.XLOOKUP(B137,'[1]Toda FM'!$A:$A,'[1]Toda FM'!$Q:$Q,""),"")</f>
        <v>0.1</v>
      </c>
      <c r="H137" s="3" t="str" cm="1">
        <f t="array" ref="H137">IFERROR(_xlfn.LET(_xlpm.rw,MATCH(B137,'[1]Toda FM'!$A:$A,0),_xlpm.vals,INDEX('[1]Toda FM'!$H:$M,_xlpm.rw,0),_xlpm.diffs,ABS(_xlpm.vals-F137),_xlpm.mn,MIN(_xlpm.diffs),_xlpm.pos,MATCH(_xlpm.mn,_xlpm.diffs,0),IF(_xlpm.mn/F137&lt;=0.02,TRIM(INDEX('[1]Toda FM'!$H$2:$M$2,1,_xlpm.pos)),"")),"")</f>
        <v>F10</v>
      </c>
      <c r="I137" s="3">
        <f>IFERROR(_xlfn.XLOOKUP(B137,'[1]Toda FM'!$A:$A,'[1]Toda FM'!$R:$R,""),"")</f>
        <v>0</v>
      </c>
    </row>
    <row r="138" spans="1:9" x14ac:dyDescent="0.25">
      <c r="A138" s="9" t="s">
        <v>74</v>
      </c>
      <c r="B138" s="9" t="s">
        <v>75</v>
      </c>
      <c r="C138" s="8">
        <v>172.04</v>
      </c>
      <c r="D138" s="7">
        <v>140.76</v>
      </c>
      <c r="E138" s="11">
        <f t="shared" si="4"/>
        <v>0.10000000000000016</v>
      </c>
      <c r="F138" s="10">
        <v>154.83600000000001</v>
      </c>
      <c r="G138" s="4">
        <f>IFERROR(_xlfn.XLOOKUP(B138,'[1]Toda FM'!$A:$A,'[1]Toda FM'!$Q:$Q,""),"")</f>
        <v>0.1</v>
      </c>
      <c r="H138" s="3" t="str" cm="1">
        <f t="array" ref="H138">IFERROR(_xlfn.LET(_xlpm.rw,MATCH(B138,'[1]Toda FM'!$A:$A,0),_xlpm.vals,INDEX('[1]Toda FM'!$H:$M,_xlpm.rw,0),_xlpm.diffs,ABS(_xlpm.vals-F138),_xlpm.mn,MIN(_xlpm.diffs),_xlpm.pos,MATCH(_xlpm.mn,_xlpm.diffs,0),IF(_xlpm.mn/F138&lt;=0.02,TRIM(INDEX('[1]Toda FM'!$H$2:$M$2,1,_xlpm.pos)),"")),"")</f>
        <v>F8</v>
      </c>
      <c r="I138" s="3">
        <f>IFERROR(_xlfn.XLOOKUP(B138,'[1]Toda FM'!$A:$A,'[1]Toda FM'!$R:$R,""),"")</f>
        <v>0</v>
      </c>
    </row>
    <row r="139" spans="1:9" x14ac:dyDescent="0.25">
      <c r="A139" s="9" t="s">
        <v>74</v>
      </c>
      <c r="B139" s="9" t="s">
        <v>21</v>
      </c>
      <c r="C139" s="8">
        <v>141.30600000000001</v>
      </c>
      <c r="D139" s="7">
        <v>113.53</v>
      </c>
      <c r="E139" s="11">
        <f t="shared" si="4"/>
        <v>5.7958248920990031E-2</v>
      </c>
      <c r="F139" s="10">
        <v>120.11</v>
      </c>
      <c r="G139" s="4">
        <f>IFERROR(_xlfn.XLOOKUP(B139,'[1]Toda FM'!$A:$A,'[1]Toda FM'!$Q:$Q,""),"")</f>
        <v>0.1</v>
      </c>
      <c r="H139" s="3" t="str" cm="1">
        <f t="array" ref="H139">IFERROR(_xlfn.LET(_xlpm.rw,MATCH(B139,'[1]Toda FM'!$A:$A,0),_xlpm.vals,INDEX('[1]Toda FM'!$H:$M,_xlpm.rw,0),_xlpm.diffs,ABS(_xlpm.vals-F139),_xlpm.mn,MIN(_xlpm.diffs),_xlpm.pos,MATCH(_xlpm.mn,_xlpm.diffs,0),IF(_xlpm.mn/F139&lt;=0.02,TRIM(INDEX('[1]Toda FM'!$H$2:$M$2,1,_xlpm.pos)),"")),"")</f>
        <v>F10</v>
      </c>
      <c r="I139" s="3">
        <f>IFERROR(_xlfn.XLOOKUP(B139,'[1]Toda FM'!$A:$A,'[1]Toda FM'!$R:$R,""),"")</f>
        <v>0</v>
      </c>
    </row>
    <row r="140" spans="1:9" x14ac:dyDescent="0.25">
      <c r="A140" s="9" t="s">
        <v>74</v>
      </c>
      <c r="B140" s="9" t="s">
        <v>3</v>
      </c>
      <c r="C140" s="8">
        <v>74.5</v>
      </c>
      <c r="D140" s="7">
        <v>61.5</v>
      </c>
      <c r="E140" s="11">
        <f t="shared" si="4"/>
        <v>2.9756097560975581E-2</v>
      </c>
      <c r="F140" s="10">
        <v>63.33</v>
      </c>
      <c r="G140" s="4">
        <f>IFERROR(_xlfn.XLOOKUP(B140,'[1]Toda FM'!$A:$A,'[1]Toda FM'!$Q:$Q,""),"")</f>
        <v>0</v>
      </c>
      <c r="H140" s="3" t="str" cm="1">
        <f t="array" ref="H140">IFERROR(_xlfn.LET(_xlpm.rw,MATCH(B140,'[1]Toda FM'!$A:$A,0),_xlpm.vals,INDEX('[1]Toda FM'!$H:$M,_xlpm.rw,0),_xlpm.diffs,ABS(_xlpm.vals-F140),_xlpm.mn,MIN(_xlpm.diffs),_xlpm.pos,MATCH(_xlpm.mn,_xlpm.diffs,0),IF(_xlpm.mn/F140&lt;=0.02,TRIM(INDEX('[1]Toda FM'!$H$2:$M$2,1,_xlpm.pos)),"")),"")</f>
        <v>F10</v>
      </c>
      <c r="I140" s="3">
        <f>IFERROR(_xlfn.XLOOKUP(B140,'[1]Toda FM'!$A:$A,'[1]Toda FM'!$R:$R,""),"")</f>
        <v>0</v>
      </c>
    </row>
    <row r="141" spans="1:9" x14ac:dyDescent="0.25">
      <c r="A141" s="9" t="s">
        <v>73</v>
      </c>
      <c r="B141" s="9" t="s">
        <v>57</v>
      </c>
      <c r="C141" s="8">
        <v>82.1</v>
      </c>
      <c r="D141" s="7">
        <v>78</v>
      </c>
      <c r="E141" s="11">
        <f t="shared" si="4"/>
        <v>5.2564102564102488E-2</v>
      </c>
      <c r="F141" s="10">
        <v>82.1</v>
      </c>
      <c r="G141" s="4">
        <f>IFERROR(_xlfn.XLOOKUP(B141,'[1]Toda FM'!$A:$A,'[1]Toda FM'!$Q:$Q,""),"")</f>
        <v>0</v>
      </c>
      <c r="H141" s="3" t="str" cm="1">
        <f t="array" ref="H141">IFERROR(_xlfn.LET(_xlpm.rw,MATCH(B141,'[1]Toda FM'!$A:$A,0),_xlpm.vals,INDEX('[1]Toda FM'!$H:$M,_xlpm.rw,0),_xlpm.diffs,ABS(_xlpm.vals-F141),_xlpm.mn,MIN(_xlpm.diffs),_xlpm.pos,MATCH(_xlpm.mn,_xlpm.diffs,0),IF(_xlpm.mn/F141&lt;=0.02,TRIM(INDEX('[1]Toda FM'!$H$2:$M$2,1,_xlpm.pos)),"")),"")</f>
        <v>F5</v>
      </c>
      <c r="I141" s="3">
        <f>IFERROR(_xlfn.XLOOKUP(B141,'[1]Toda FM'!$A:$A,'[1]Toda FM'!$R:$R,""),"")</f>
        <v>0</v>
      </c>
    </row>
    <row r="142" spans="1:9" x14ac:dyDescent="0.25">
      <c r="A142" s="9" t="s">
        <v>73</v>
      </c>
      <c r="B142" s="9" t="s">
        <v>55</v>
      </c>
      <c r="C142" s="8">
        <v>90.825000000000003</v>
      </c>
      <c r="D142" s="7">
        <v>73.53</v>
      </c>
      <c r="E142" s="11">
        <f t="shared" si="4"/>
        <v>4.9911600707194366E-2</v>
      </c>
      <c r="F142" s="10">
        <v>77.2</v>
      </c>
      <c r="G142" s="4">
        <f>IFERROR(_xlfn.XLOOKUP(B142,'[1]Toda FM'!$A:$A,'[1]Toda FM'!$Q:$Q,""),"")</f>
        <v>0.05</v>
      </c>
      <c r="H142" s="3" t="str" cm="1">
        <f t="array" ref="H142">IFERROR(_xlfn.LET(_xlpm.rw,MATCH(B142,'[1]Toda FM'!$A:$A,0),_xlpm.vals,INDEX('[1]Toda FM'!$H:$M,_xlpm.rw,0),_xlpm.diffs,ABS(_xlpm.vals-F142),_xlpm.mn,MIN(_xlpm.diffs),_xlpm.pos,MATCH(_xlpm.mn,_xlpm.diffs,0),IF(_xlpm.mn/F142&lt;=0.02,TRIM(INDEX('[1]Toda FM'!$H$2:$M$2,1,_xlpm.pos)),"")),"")</f>
        <v>F10</v>
      </c>
      <c r="I142" s="3">
        <f>IFERROR(_xlfn.XLOOKUP(B142,'[1]Toda FM'!$A:$A,'[1]Toda FM'!$R:$R,""),"")</f>
        <v>0</v>
      </c>
    </row>
    <row r="143" spans="1:9" x14ac:dyDescent="0.25">
      <c r="A143" s="9" t="s">
        <v>73</v>
      </c>
      <c r="B143" s="9" t="s">
        <v>72</v>
      </c>
      <c r="C143" s="8">
        <v>62.475000000000001</v>
      </c>
      <c r="D143" s="7">
        <v>56.63</v>
      </c>
      <c r="E143" s="11">
        <v>0.05</v>
      </c>
      <c r="F143" s="10">
        <v>62.48</v>
      </c>
      <c r="G143" s="4">
        <f>IFERROR(_xlfn.XLOOKUP(B143,'[1]Toda FM'!$A:$A,'[1]Toda FM'!$Q:$Q,""),"")</f>
        <v>0.05</v>
      </c>
      <c r="H143" s="3" t="str" cm="1">
        <f t="array" ref="H143">IFERROR(_xlfn.LET(_xlpm.rw,MATCH(B143,'[1]Toda FM'!$A:$A,0),_xlpm.vals,INDEX('[1]Toda FM'!$H:$M,_xlpm.rw,0),_xlpm.diffs,ABS(_xlpm.vals-F143),_xlpm.mn,MIN(_xlpm.diffs),_xlpm.pos,MATCH(_xlpm.mn,_xlpm.diffs,0),IF(_xlpm.mn/F143&lt;=0.02,TRIM(INDEX('[1]Toda FM'!$H$2:$M$2,1,_xlpm.pos)),"")),"")</f>
        <v>F5</v>
      </c>
      <c r="I143" s="3">
        <f>IFERROR(_xlfn.XLOOKUP(B143,'[1]Toda FM'!$A:$A,'[1]Toda FM'!$R:$R,""),"")</f>
        <v>0</v>
      </c>
    </row>
    <row r="144" spans="1:9" x14ac:dyDescent="0.25">
      <c r="A144" s="9" t="s">
        <v>69</v>
      </c>
      <c r="B144" s="9" t="s">
        <v>57</v>
      </c>
      <c r="C144" s="8">
        <v>82.1</v>
      </c>
      <c r="D144" s="7">
        <v>80.28</v>
      </c>
      <c r="E144" s="11">
        <f t="shared" ref="E144:E175" si="5">IFERROR((F144-D144)/D144,"")</f>
        <v>2.267065271549568E-2</v>
      </c>
      <c r="F144" s="10">
        <v>82.1</v>
      </c>
      <c r="G144" s="4">
        <f>IFERROR(_xlfn.XLOOKUP(B144,'[1]Toda FM'!$A:$A,'[1]Toda FM'!$Q:$Q,""),"")</f>
        <v>0</v>
      </c>
      <c r="H144" s="3" t="str" cm="1">
        <f t="array" ref="H144">IFERROR(_xlfn.LET(_xlpm.rw,MATCH(B144,'[1]Toda FM'!$A:$A,0),_xlpm.vals,INDEX('[1]Toda FM'!$H:$M,_xlpm.rw,0),_xlpm.diffs,ABS(_xlpm.vals-F144),_xlpm.mn,MIN(_xlpm.diffs),_xlpm.pos,MATCH(_xlpm.mn,_xlpm.diffs,0),IF(_xlpm.mn/F144&lt;=0.02,TRIM(INDEX('[1]Toda FM'!$H$2:$M$2,1,_xlpm.pos)),"")),"")</f>
        <v>F5</v>
      </c>
      <c r="I144" s="3">
        <f>IFERROR(_xlfn.XLOOKUP(B144,'[1]Toda FM'!$A:$A,'[1]Toda FM'!$R:$R,""),"")</f>
        <v>0</v>
      </c>
    </row>
    <row r="145" spans="1:9" x14ac:dyDescent="0.25">
      <c r="A145" s="9" t="s">
        <v>69</v>
      </c>
      <c r="B145" s="9" t="s">
        <v>71</v>
      </c>
      <c r="C145" s="8">
        <v>172.04</v>
      </c>
      <c r="D145" s="7">
        <v>140.76</v>
      </c>
      <c r="E145" s="11">
        <f t="shared" si="5"/>
        <v>0.10000000000000016</v>
      </c>
      <c r="F145" s="10">
        <v>154.83600000000001</v>
      </c>
      <c r="G145" s="4">
        <f>IFERROR(_xlfn.XLOOKUP(B145,'[1]Toda FM'!$A:$A,'[1]Toda FM'!$Q:$Q,""),"")</f>
        <v>0.1</v>
      </c>
      <c r="H145" s="3" t="str" cm="1">
        <f t="array" ref="H145">IFERROR(_xlfn.LET(_xlpm.rw,MATCH(B145,'[1]Toda FM'!$A:$A,0),_xlpm.vals,INDEX('[1]Toda FM'!$H:$M,_xlpm.rw,0),_xlpm.diffs,ABS(_xlpm.vals-F145),_xlpm.mn,MIN(_xlpm.diffs),_xlpm.pos,MATCH(_xlpm.mn,_xlpm.diffs,0),IF(_xlpm.mn/F145&lt;=0.02,TRIM(INDEX('[1]Toda FM'!$H$2:$M$2,1,_xlpm.pos)),"")),"")</f>
        <v>F8</v>
      </c>
      <c r="I145" s="3">
        <f>IFERROR(_xlfn.XLOOKUP(B145,'[1]Toda FM'!$A:$A,'[1]Toda FM'!$R:$R,""),"")</f>
        <v>0</v>
      </c>
    </row>
    <row r="146" spans="1:9" x14ac:dyDescent="0.25">
      <c r="A146" s="9" t="s">
        <v>69</v>
      </c>
      <c r="B146" s="9" t="s">
        <v>70</v>
      </c>
      <c r="C146" s="8">
        <v>69</v>
      </c>
      <c r="D146" s="7">
        <v>68.72</v>
      </c>
      <c r="E146" s="11">
        <f t="shared" si="5"/>
        <v>4.0745052386496096E-3</v>
      </c>
      <c r="F146" s="10">
        <v>69</v>
      </c>
      <c r="G146" s="4">
        <f>IFERROR(_xlfn.XLOOKUP(B146,'[1]Toda FM'!$A:$A,'[1]Toda FM'!$Q:$Q,""),"")</f>
        <v>0</v>
      </c>
      <c r="H146" s="3" t="str" cm="1">
        <f t="array" ref="H146">IFERROR(_xlfn.LET(_xlpm.rw,MATCH(B146,'[1]Toda FM'!$A:$A,0),_xlpm.vals,INDEX('[1]Toda FM'!$H:$M,_xlpm.rw,0),_xlpm.diffs,ABS(_xlpm.vals-F146),_xlpm.mn,MIN(_xlpm.diffs),_xlpm.pos,MATCH(_xlpm.mn,_xlpm.diffs,0),IF(_xlpm.mn/F146&lt;=0.02,TRIM(INDEX('[1]Toda FM'!$H$2:$M$2,1,_xlpm.pos)),"")),"")</f>
        <v>F5</v>
      </c>
      <c r="I146" s="3">
        <f>IFERROR(_xlfn.XLOOKUP(B146,'[1]Toda FM'!$A:$A,'[1]Toda FM'!$R:$R,""),"")</f>
        <v>0</v>
      </c>
    </row>
    <row r="147" spans="1:9" x14ac:dyDescent="0.25">
      <c r="A147" s="9" t="s">
        <v>69</v>
      </c>
      <c r="B147" s="9" t="s">
        <v>47</v>
      </c>
      <c r="C147" s="8">
        <v>78.224999999999994</v>
      </c>
      <c r="D147" s="7">
        <v>72.239999999999995</v>
      </c>
      <c r="E147" s="11">
        <f t="shared" si="5"/>
        <v>8.2918050941306887E-2</v>
      </c>
      <c r="F147" s="10">
        <v>78.23</v>
      </c>
      <c r="G147" s="4">
        <f>IFERROR(_xlfn.XLOOKUP(B147,'[1]Toda FM'!$A:$A,'[1]Toda FM'!$Q:$Q,""),"")</f>
        <v>0.05</v>
      </c>
      <c r="H147" s="3" t="str" cm="1">
        <f t="array" ref="H147">IFERROR(_xlfn.LET(_xlpm.rw,MATCH(B147,'[1]Toda FM'!$A:$A,0),_xlpm.vals,INDEX('[1]Toda FM'!$H:$M,_xlpm.rw,0),_xlpm.diffs,ABS(_xlpm.vals-F147),_xlpm.mn,MIN(_xlpm.diffs),_xlpm.pos,MATCH(_xlpm.mn,_xlpm.diffs,0),IF(_xlpm.mn/F147&lt;=0.02,TRIM(INDEX('[1]Toda FM'!$H$2:$M$2,1,_xlpm.pos)),"")),"")</f>
        <v>F5</v>
      </c>
      <c r="I147" s="3">
        <f>IFERROR(_xlfn.XLOOKUP(B147,'[1]Toda FM'!$A:$A,'[1]Toda FM'!$R:$R,""),"")</f>
        <v>0</v>
      </c>
    </row>
    <row r="148" spans="1:9" x14ac:dyDescent="0.25">
      <c r="A148" s="9" t="s">
        <v>68</v>
      </c>
      <c r="B148" s="9" t="s">
        <v>18</v>
      </c>
      <c r="C148" s="8">
        <v>62.48</v>
      </c>
      <c r="D148" s="7">
        <v>56.53</v>
      </c>
      <c r="E148" s="11">
        <f t="shared" si="5"/>
        <v>4.988501680523616E-2</v>
      </c>
      <c r="F148" s="10">
        <v>59.35</v>
      </c>
      <c r="G148" s="4">
        <f>IFERROR(_xlfn.XLOOKUP(B148,'[1]Toda FM'!$A:$A,'[1]Toda FM'!$Q:$Q,""),"")</f>
        <v>0.05</v>
      </c>
      <c r="H148" s="3" t="str" cm="1">
        <f t="array" ref="H148">IFERROR(_xlfn.LET(_xlpm.rw,MATCH(B148,'[1]Toda FM'!$A:$A,0),_xlpm.vals,INDEX('[1]Toda FM'!$H:$M,_xlpm.rw,0),_xlpm.diffs,ABS(_xlpm.vals-F148),_xlpm.mn,MIN(_xlpm.diffs),_xlpm.pos,MATCH(_xlpm.mn,_xlpm.diffs,0),IF(_xlpm.mn/F148&lt;=0.02,TRIM(INDEX('[1]Toda FM'!$H$2:$M$2,1,_xlpm.pos)),"")),"")</f>
        <v>F6</v>
      </c>
      <c r="I148" s="3">
        <f>IFERROR(_xlfn.XLOOKUP(B148,'[1]Toda FM'!$A:$A,'[1]Toda FM'!$R:$R,""),"")</f>
        <v>0</v>
      </c>
    </row>
    <row r="149" spans="1:9" x14ac:dyDescent="0.25">
      <c r="A149" s="9" t="s">
        <v>68</v>
      </c>
      <c r="B149" s="9" t="s">
        <v>20</v>
      </c>
      <c r="C149" s="8">
        <v>72.98</v>
      </c>
      <c r="D149" s="7">
        <v>62.55</v>
      </c>
      <c r="E149" s="11">
        <f t="shared" si="5"/>
        <v>5.0039968025579695E-2</v>
      </c>
      <c r="F149" s="10">
        <v>65.680000000000007</v>
      </c>
      <c r="G149" s="4">
        <f>IFERROR(_xlfn.XLOOKUP(B149,'[1]Toda FM'!$A:$A,'[1]Toda FM'!$Q:$Q,""),"")</f>
        <v>0.05</v>
      </c>
      <c r="H149" s="3" t="str" cm="1">
        <f t="array" ref="H149">IFERROR(_xlfn.LET(_xlpm.rw,MATCH(B149,'[1]Toda FM'!$A:$A,0),_xlpm.vals,INDEX('[1]Toda FM'!$H:$M,_xlpm.rw,0),_xlpm.diffs,ABS(_xlpm.vals-F149),_xlpm.mn,MIN(_xlpm.diffs),_xlpm.pos,MATCH(_xlpm.mn,_xlpm.diffs,0),IF(_xlpm.mn/F149&lt;=0.02,TRIM(INDEX('[1]Toda FM'!$H$2:$M$2,1,_xlpm.pos)),"")),"")</f>
        <v>F8</v>
      </c>
      <c r="I149" s="3">
        <f>IFERROR(_xlfn.XLOOKUP(B149,'[1]Toda FM'!$A:$A,'[1]Toda FM'!$R:$R,""),"")</f>
        <v>0</v>
      </c>
    </row>
    <row r="150" spans="1:9" x14ac:dyDescent="0.25">
      <c r="A150" s="9" t="s">
        <v>68</v>
      </c>
      <c r="B150" s="9" t="s">
        <v>36</v>
      </c>
      <c r="C150" s="8">
        <v>69</v>
      </c>
      <c r="D150" s="7">
        <v>58.65</v>
      </c>
      <c r="E150" s="11">
        <f t="shared" si="5"/>
        <v>5.8823529411764754E-2</v>
      </c>
      <c r="F150" s="10">
        <v>62.1</v>
      </c>
      <c r="G150" s="4">
        <f>IFERROR(_xlfn.XLOOKUP(B150,'[1]Toda FM'!$A:$A,'[1]Toda FM'!$Q:$Q,""),"")</f>
        <v>0</v>
      </c>
      <c r="H150" s="3" t="str" cm="1">
        <f t="array" ref="H150">IFERROR(_xlfn.LET(_xlpm.rw,MATCH(B150,'[1]Toda FM'!$A:$A,0),_xlpm.vals,INDEX('[1]Toda FM'!$H:$M,_xlpm.rw,0),_xlpm.diffs,ABS(_xlpm.vals-F150),_xlpm.mn,MIN(_xlpm.diffs),_xlpm.pos,MATCH(_xlpm.mn,_xlpm.diffs,0),IF(_xlpm.mn/F150&lt;=0.02,TRIM(INDEX('[1]Toda FM'!$H$2:$M$2,1,_xlpm.pos)),"")),"")</f>
        <v>F8</v>
      </c>
      <c r="I150" s="3">
        <f>IFERROR(_xlfn.XLOOKUP(B150,'[1]Toda FM'!$A:$A,'[1]Toda FM'!$R:$R,""),"")</f>
        <v>0</v>
      </c>
    </row>
    <row r="151" spans="1:9" x14ac:dyDescent="0.25">
      <c r="A151" s="9" t="s">
        <v>59</v>
      </c>
      <c r="B151" s="9" t="s">
        <v>53</v>
      </c>
      <c r="C151" s="8">
        <v>208.95</v>
      </c>
      <c r="D151" s="7">
        <v>149.63</v>
      </c>
      <c r="E151" s="38">
        <f t="shared" si="5"/>
        <v>5.0000000000000079E-2</v>
      </c>
      <c r="F151" s="39">
        <f>D151*1.05</f>
        <v>157.11150000000001</v>
      </c>
      <c r="G151" s="4">
        <f>IFERROR(_xlfn.XLOOKUP(B151,'[1]Toda FM'!$A:$A,'[1]Toda FM'!$Q:$Q,""),"")</f>
        <v>0.05</v>
      </c>
      <c r="H151" s="3" t="str" cm="1">
        <f t="array" ref="H151">IFERROR(_xlfn.LET(_xlpm.rw,MATCH(B151,'[1]Toda FM'!$A:$A,0),_xlpm.vals,INDEX('[1]Toda FM'!$H:$M,_xlpm.rw,0),_xlpm.diffs,ABS(_xlpm.vals-F151),_xlpm.mn,MIN(_xlpm.diffs),_xlpm.pos,MATCH(_xlpm.mn,_xlpm.diffs,0),IF(_xlpm.mn/F151&lt;=0.02,TRIM(INDEX('[1]Toda FM'!$H$2:$M$2,1,_xlpm.pos)),"")),"")</f>
        <v/>
      </c>
      <c r="I151" s="3" t="str">
        <f>IFERROR(_xlfn.XLOOKUP(B151,'[1]Toda FM'!$A:$A,'[1]Toda FM'!$R:$R,""),"")</f>
        <v>REVOLUTION</v>
      </c>
    </row>
    <row r="152" spans="1:9" x14ac:dyDescent="0.25">
      <c r="A152" s="9" t="s">
        <v>59</v>
      </c>
      <c r="B152" s="9" t="s">
        <v>67</v>
      </c>
      <c r="C152" s="8">
        <v>92.4</v>
      </c>
      <c r="D152" s="7">
        <v>75.599999999999994</v>
      </c>
      <c r="E152" s="11">
        <f t="shared" si="5"/>
        <v>0.10000000000000003</v>
      </c>
      <c r="F152" s="10">
        <v>83.16</v>
      </c>
      <c r="G152" s="4">
        <f>IFERROR(_xlfn.XLOOKUP(B152,'[1]Toda FM'!$A:$A,'[1]Toda FM'!$Q:$Q,""),"")</f>
        <v>0.1</v>
      </c>
      <c r="H152" s="3" t="str" cm="1">
        <f t="array" ref="H152">IFERROR(_xlfn.LET(_xlpm.rw,MATCH(B152,'[1]Toda FM'!$A:$A,0),_xlpm.vals,INDEX('[1]Toda FM'!$H:$M,_xlpm.rw,0),_xlpm.diffs,ABS(_xlpm.vals-F152),_xlpm.mn,MIN(_xlpm.diffs),_xlpm.pos,MATCH(_xlpm.mn,_xlpm.diffs,0),IF(_xlpm.mn/F152&lt;=0.02,TRIM(INDEX('[1]Toda FM'!$H$2:$M$2,1,_xlpm.pos)),"")),"")</f>
        <v>F8</v>
      </c>
      <c r="I152" s="3">
        <f>IFERROR(_xlfn.XLOOKUP(B152,'[1]Toda FM'!$A:$A,'[1]Toda FM'!$R:$R,""),"")</f>
        <v>0</v>
      </c>
    </row>
    <row r="153" spans="1:9" x14ac:dyDescent="0.25">
      <c r="A153" s="9" t="s">
        <v>59</v>
      </c>
      <c r="B153" s="9" t="s">
        <v>66</v>
      </c>
      <c r="C153" s="8">
        <v>187.95</v>
      </c>
      <c r="D153" s="7">
        <v>179</v>
      </c>
      <c r="E153" s="11">
        <f t="shared" si="5"/>
        <v>4.9999999999999933E-2</v>
      </c>
      <c r="F153" s="10">
        <v>187.95</v>
      </c>
      <c r="G153" s="4">
        <f>IFERROR(_xlfn.XLOOKUP(B153,'[1]Toda FM'!$A:$A,'[1]Toda FM'!$Q:$Q,""),"")</f>
        <v>0.05</v>
      </c>
      <c r="H153" s="3" t="str" cm="1">
        <f t="array" ref="H153">IFERROR(_xlfn.LET(_xlpm.rw,MATCH(B153,'[1]Toda FM'!$A:$A,0),_xlpm.vals,INDEX('[1]Toda FM'!$H:$M,_xlpm.rw,0),_xlpm.diffs,ABS(_xlpm.vals-F153),_xlpm.mn,MIN(_xlpm.diffs),_xlpm.pos,MATCH(_xlpm.mn,_xlpm.diffs,0),IF(_xlpm.mn/F153&lt;=0.02,TRIM(INDEX('[1]Toda FM'!$H$2:$M$2,1,_xlpm.pos)),"")),"")</f>
        <v>F5</v>
      </c>
      <c r="I153" s="3" t="str">
        <f>IFERROR(_xlfn.XLOOKUP(B153,'[1]Toda FM'!$A:$A,'[1]Toda FM'!$R:$R,""),"")</f>
        <v xml:space="preserve">VINIL  </v>
      </c>
    </row>
    <row r="154" spans="1:9" x14ac:dyDescent="0.25">
      <c r="A154" s="9" t="s">
        <v>59</v>
      </c>
      <c r="B154" s="9" t="s">
        <v>65</v>
      </c>
      <c r="C154" s="8">
        <v>264.06450000000001</v>
      </c>
      <c r="D154" s="7">
        <v>188.62</v>
      </c>
      <c r="E154" s="38">
        <f t="shared" si="5"/>
        <v>5.0000000000000058E-2</v>
      </c>
      <c r="F154" s="39">
        <f>D154*1.05</f>
        <v>198.05100000000002</v>
      </c>
      <c r="G154" s="4">
        <f>IFERROR(_xlfn.XLOOKUP(B154,'[1]Toda FM'!$A:$A,'[1]Toda FM'!$Q:$Q,""),"")</f>
        <v>0.05</v>
      </c>
      <c r="H154" s="3" t="str" cm="1">
        <f t="array" ref="H154">IFERROR(_xlfn.LET(_xlpm.rw,MATCH(B154,'[1]Toda FM'!$A:$A,0),_xlpm.vals,INDEX('[1]Toda FM'!$H:$M,_xlpm.rw,0),_xlpm.diffs,ABS(_xlpm.vals-F154),_xlpm.mn,MIN(_xlpm.diffs),_xlpm.pos,MATCH(_xlpm.mn,_xlpm.diffs,0),IF(_xlpm.mn/F154&lt;=0.02,TRIM(INDEX('[1]Toda FM'!$H$2:$M$2,1,_xlpm.pos)),"")),"")</f>
        <v/>
      </c>
      <c r="I154" s="3" t="str">
        <f>IFERROR(_xlfn.XLOOKUP(B154,'[1]Toda FM'!$A:$A,'[1]Toda FM'!$R:$R,""),"")</f>
        <v>REVOLUTION</v>
      </c>
    </row>
    <row r="155" spans="1:9" x14ac:dyDescent="0.25">
      <c r="A155" s="9" t="s">
        <v>59</v>
      </c>
      <c r="B155" s="9" t="s">
        <v>64</v>
      </c>
      <c r="C155" s="8">
        <v>64</v>
      </c>
      <c r="D155" s="7">
        <v>57.6</v>
      </c>
      <c r="E155" s="11">
        <f t="shared" si="5"/>
        <v>0</v>
      </c>
      <c r="F155" s="10">
        <v>57.6</v>
      </c>
      <c r="G155" s="4">
        <f>IFERROR(_xlfn.XLOOKUP(B155,'[1]Toda FM'!$A:$A,'[1]Toda FM'!$Q:$Q,""),"")</f>
        <v>0</v>
      </c>
      <c r="H155" s="3" t="str" cm="1">
        <f t="array" ref="H155">IFERROR(_xlfn.LET(_xlpm.rw,MATCH(B155,'[1]Toda FM'!$A:$A,0),_xlpm.vals,INDEX('[1]Toda FM'!$H:$M,_xlpm.rw,0),_xlpm.diffs,ABS(_xlpm.vals-F155),_xlpm.mn,MIN(_xlpm.diffs),_xlpm.pos,MATCH(_xlpm.mn,_xlpm.diffs,0),IF(_xlpm.mn/F155&lt;=0.02,TRIM(INDEX('[1]Toda FM'!$H$2:$M$2,1,_xlpm.pos)),"")),"")</f>
        <v>F8</v>
      </c>
      <c r="I155" s="3" t="str">
        <f>IFERROR(_xlfn.XLOOKUP(B155,'[1]Toda FM'!$A:$A,'[1]Toda FM'!$R:$R,""),"")</f>
        <v>LONG LIFE
FEB 2026</v>
      </c>
    </row>
    <row r="156" spans="1:9" x14ac:dyDescent="0.25">
      <c r="A156" s="9" t="s">
        <v>59</v>
      </c>
      <c r="B156" s="9" t="s">
        <v>63</v>
      </c>
      <c r="C156" s="8">
        <v>229.9</v>
      </c>
      <c r="D156" s="7">
        <v>188.1</v>
      </c>
      <c r="E156" s="11">
        <f t="shared" si="5"/>
        <v>0.10000000000000002</v>
      </c>
      <c r="F156" s="10">
        <v>206.91</v>
      </c>
      <c r="G156" s="4">
        <f>IFERROR(_xlfn.XLOOKUP(B156,'[1]Toda FM'!$A:$A,'[1]Toda FM'!$Q:$Q,""),"")</f>
        <v>0.1</v>
      </c>
      <c r="H156" s="3" t="str" cm="1">
        <f t="array" ref="H156">IFERROR(_xlfn.LET(_xlpm.rw,MATCH(B156,'[1]Toda FM'!$A:$A,0),_xlpm.vals,INDEX('[1]Toda FM'!$H:$M,_xlpm.rw,0),_xlpm.diffs,ABS(_xlpm.vals-F156),_xlpm.mn,MIN(_xlpm.diffs),_xlpm.pos,MATCH(_xlpm.mn,_xlpm.diffs,0),IF(_xlpm.mn/F156&lt;=0.02,TRIM(INDEX('[1]Toda FM'!$H$2:$M$2,1,_xlpm.pos)),"")),"")</f>
        <v>F8</v>
      </c>
      <c r="I156" s="3">
        <f>IFERROR(_xlfn.XLOOKUP(B156,'[1]Toda FM'!$A:$A,'[1]Toda FM'!$R:$R,""),"")</f>
        <v>0</v>
      </c>
    </row>
    <row r="157" spans="1:9" x14ac:dyDescent="0.25">
      <c r="A157" s="9" t="s">
        <v>59</v>
      </c>
      <c r="B157" s="9" t="s">
        <v>62</v>
      </c>
      <c r="C157" s="8">
        <v>198.45</v>
      </c>
      <c r="D157" s="7">
        <v>189</v>
      </c>
      <c r="E157" s="11">
        <f t="shared" si="5"/>
        <v>4.999999999999994E-2</v>
      </c>
      <c r="F157" s="10">
        <v>198.45</v>
      </c>
      <c r="G157" s="4">
        <f>IFERROR(_xlfn.XLOOKUP(B157,'[1]Toda FM'!$A:$A,'[1]Toda FM'!$Q:$Q,""),"")</f>
        <v>0.05</v>
      </c>
      <c r="H157" s="3" t="str" cm="1">
        <f t="array" ref="H157">IFERROR(_xlfn.LET(_xlpm.rw,MATCH(B157,'[1]Toda FM'!$A:$A,0),_xlpm.vals,INDEX('[1]Toda FM'!$H:$M,_xlpm.rw,0),_xlpm.diffs,ABS(_xlpm.vals-F157),_xlpm.mn,MIN(_xlpm.diffs),_xlpm.pos,MATCH(_xlpm.mn,_xlpm.diffs,0),IF(_xlpm.mn/F157&lt;=0.02,TRIM(INDEX('[1]Toda FM'!$H$2:$M$2,1,_xlpm.pos)),"")),"")</f>
        <v>F5</v>
      </c>
      <c r="I157" s="3" t="str">
        <f>IFERROR(_xlfn.XLOOKUP(B157,'[1]Toda FM'!$A:$A,'[1]Toda FM'!$R:$R,""),"")</f>
        <v>REVOLUTION</v>
      </c>
    </row>
    <row r="158" spans="1:9" x14ac:dyDescent="0.25">
      <c r="A158" s="9" t="s">
        <v>59</v>
      </c>
      <c r="B158" s="9" t="s">
        <v>61</v>
      </c>
      <c r="C158" s="8">
        <v>460.9</v>
      </c>
      <c r="D158" s="7">
        <v>419</v>
      </c>
      <c r="E158" s="11">
        <f t="shared" si="5"/>
        <v>9.999999999999995E-2</v>
      </c>
      <c r="F158" s="10">
        <v>460.9</v>
      </c>
      <c r="G158" s="4">
        <f>IFERROR(_xlfn.XLOOKUP(B158,'[1]Toda FM'!$A:$A,'[1]Toda FM'!$Q:$Q,""),"")</f>
        <v>0.1</v>
      </c>
      <c r="H158" s="3" t="str" cm="1">
        <f t="array" ref="H158">IFERROR(_xlfn.LET(_xlpm.rw,MATCH(B158,'[1]Toda FM'!$A:$A,0),_xlpm.vals,INDEX('[1]Toda FM'!$H:$M,_xlpm.rw,0),_xlpm.diffs,ABS(_xlpm.vals-F158),_xlpm.mn,MIN(_xlpm.diffs),_xlpm.pos,MATCH(_xlpm.mn,_xlpm.diffs,0),IF(_xlpm.mn/F158&lt;=0.02,TRIM(INDEX('[1]Toda FM'!$H$2:$M$2,1,_xlpm.pos)),"")),"")</f>
        <v>F5</v>
      </c>
      <c r="I158" s="3">
        <f>IFERROR(_xlfn.XLOOKUP(B158,'[1]Toda FM'!$A:$A,'[1]Toda FM'!$R:$R,""),"")</f>
        <v>0</v>
      </c>
    </row>
    <row r="159" spans="1:9" x14ac:dyDescent="0.25">
      <c r="A159" s="9" t="s">
        <v>59</v>
      </c>
      <c r="B159" s="9" t="s">
        <v>60</v>
      </c>
      <c r="C159" s="8">
        <v>273.89999999999998</v>
      </c>
      <c r="D159" s="7">
        <v>249</v>
      </c>
      <c r="E159" s="11">
        <f t="shared" si="5"/>
        <v>9.9999999999999908E-2</v>
      </c>
      <c r="F159" s="10">
        <v>273.89999999999998</v>
      </c>
      <c r="G159" s="4">
        <f>IFERROR(_xlfn.XLOOKUP(B159,'[1]Toda FM'!$A:$A,'[1]Toda FM'!$Q:$Q,""),"")</f>
        <v>0.1</v>
      </c>
      <c r="H159" s="3" t="str" cm="1">
        <f t="array" ref="H159">IFERROR(_xlfn.LET(_xlpm.rw,MATCH(B159,'[1]Toda FM'!$A:$A,0),_xlpm.vals,INDEX('[1]Toda FM'!$H:$M,_xlpm.rw,0),_xlpm.diffs,ABS(_xlpm.vals-F159),_xlpm.mn,MIN(_xlpm.diffs),_xlpm.pos,MATCH(_xlpm.mn,_xlpm.diffs,0),IF(_xlpm.mn/F159&lt;=0.02,TRIM(INDEX('[1]Toda FM'!$H$2:$M$2,1,_xlpm.pos)),"")),"")</f>
        <v>F5</v>
      </c>
      <c r="I159" s="3" t="str">
        <f>IFERROR(_xlfn.XLOOKUP(B159,'[1]Toda FM'!$A:$A,'[1]Toda FM'!$R:$R,""),"")</f>
        <v>FEB 2026</v>
      </c>
    </row>
    <row r="160" spans="1:9" x14ac:dyDescent="0.25">
      <c r="A160" s="9" t="s">
        <v>59</v>
      </c>
      <c r="B160" s="9" t="s">
        <v>58</v>
      </c>
      <c r="C160" s="8">
        <v>196.9</v>
      </c>
      <c r="D160" s="7">
        <v>179</v>
      </c>
      <c r="E160" s="11">
        <f t="shared" si="5"/>
        <v>0.10000000000000003</v>
      </c>
      <c r="F160" s="10">
        <v>196.9</v>
      </c>
      <c r="G160" s="4">
        <f>IFERROR(_xlfn.XLOOKUP(B160,'[1]Toda FM'!$A:$A,'[1]Toda FM'!$Q:$Q,""),"")</f>
        <v>0.1</v>
      </c>
      <c r="H160" s="3" t="str" cm="1">
        <f t="array" ref="H160">IFERROR(_xlfn.LET(_xlpm.rw,MATCH(B160,'[1]Toda FM'!$A:$A,0),_xlpm.vals,INDEX('[1]Toda FM'!$H:$M,_xlpm.rw,0),_xlpm.diffs,ABS(_xlpm.vals-F160),_xlpm.mn,MIN(_xlpm.diffs),_xlpm.pos,MATCH(_xlpm.mn,_xlpm.diffs,0),IF(_xlpm.mn/F160&lt;=0.02,TRIM(INDEX('[1]Toda FM'!$H$2:$M$2,1,_xlpm.pos)),"")),"")</f>
        <v>F5</v>
      </c>
      <c r="I160" s="3" t="str">
        <f>IFERROR(_xlfn.XLOOKUP(B160,'[1]Toda FM'!$A:$A,'[1]Toda FM'!$R:$R,""),"")</f>
        <v>LONG LIFE
FEB 2026</v>
      </c>
    </row>
    <row r="161" spans="1:9" x14ac:dyDescent="0.25">
      <c r="A161" s="9" t="s">
        <v>54</v>
      </c>
      <c r="B161" s="9" t="s">
        <v>57</v>
      </c>
      <c r="C161" s="8">
        <v>82.1</v>
      </c>
      <c r="D161" s="7">
        <v>78</v>
      </c>
      <c r="E161" s="11">
        <f t="shared" si="5"/>
        <v>5.2564102564102488E-2</v>
      </c>
      <c r="F161" s="10">
        <v>82.1</v>
      </c>
      <c r="G161" s="4">
        <f>IFERROR(_xlfn.XLOOKUP(B161,'[1]Toda FM'!$A:$A,'[1]Toda FM'!$Q:$Q,""),"")</f>
        <v>0</v>
      </c>
      <c r="H161" s="3" t="str" cm="1">
        <f t="array" ref="H161">IFERROR(_xlfn.LET(_xlpm.rw,MATCH(B161,'[1]Toda FM'!$A:$A,0),_xlpm.vals,INDEX('[1]Toda FM'!$H:$M,_xlpm.rw,0),_xlpm.diffs,ABS(_xlpm.vals-F161),_xlpm.mn,MIN(_xlpm.diffs),_xlpm.pos,MATCH(_xlpm.mn,_xlpm.diffs,0),IF(_xlpm.mn/F161&lt;=0.02,TRIM(INDEX('[1]Toda FM'!$H$2:$M$2,1,_xlpm.pos)),"")),"")</f>
        <v>F5</v>
      </c>
      <c r="I161" s="3">
        <f>IFERROR(_xlfn.XLOOKUP(B161,'[1]Toda FM'!$A:$A,'[1]Toda FM'!$R:$R,""),"")</f>
        <v>0</v>
      </c>
    </row>
    <row r="162" spans="1:9" x14ac:dyDescent="0.25">
      <c r="A162" s="9" t="s">
        <v>54</v>
      </c>
      <c r="B162" s="9" t="s">
        <v>56</v>
      </c>
      <c r="C162" s="8">
        <v>74.5</v>
      </c>
      <c r="D162" s="7">
        <v>67.05</v>
      </c>
      <c r="E162" s="11">
        <f t="shared" si="5"/>
        <v>5.5630126771066428E-2</v>
      </c>
      <c r="F162" s="10">
        <v>70.78</v>
      </c>
      <c r="G162" s="4">
        <f>IFERROR(_xlfn.XLOOKUP(B162,'[1]Toda FM'!$A:$A,'[1]Toda FM'!$Q:$Q,""),"")</f>
        <v>0</v>
      </c>
      <c r="H162" s="3" t="str" cm="1">
        <f t="array" ref="H162">IFERROR(_xlfn.LET(_xlpm.rw,MATCH(B162,'[1]Toda FM'!$A:$A,0),_xlpm.vals,INDEX('[1]Toda FM'!$H:$M,_xlpm.rw,0),_xlpm.diffs,ABS(_xlpm.vals-F162),_xlpm.mn,MIN(_xlpm.diffs),_xlpm.pos,MATCH(_xlpm.mn,_xlpm.diffs,0),IF(_xlpm.mn/F162&lt;=0.02,TRIM(INDEX('[1]Toda FM'!$H$2:$M$2,1,_xlpm.pos)),"")),"")</f>
        <v>F6</v>
      </c>
      <c r="I162" s="3">
        <f>IFERROR(_xlfn.XLOOKUP(B162,'[1]Toda FM'!$A:$A,'[1]Toda FM'!$R:$R,""),"")</f>
        <v>0</v>
      </c>
    </row>
    <row r="163" spans="1:9" x14ac:dyDescent="0.25">
      <c r="A163" s="9" t="s">
        <v>54</v>
      </c>
      <c r="B163" s="9" t="s">
        <v>55</v>
      </c>
      <c r="C163" s="8">
        <v>90.825000000000003</v>
      </c>
      <c r="D163" s="7">
        <v>78.38</v>
      </c>
      <c r="E163" s="11">
        <f t="shared" si="5"/>
        <v>4.2868078591477413E-2</v>
      </c>
      <c r="F163" s="10">
        <v>81.739999999999995</v>
      </c>
      <c r="G163" s="4">
        <f>IFERROR(_xlfn.XLOOKUP(B163,'[1]Toda FM'!$A:$A,'[1]Toda FM'!$Q:$Q,""),"")</f>
        <v>0.05</v>
      </c>
      <c r="H163" s="3" t="str" cm="1">
        <f t="array" ref="H163">IFERROR(_xlfn.LET(_xlpm.rw,MATCH(B163,'[1]Toda FM'!$A:$A,0),_xlpm.vals,INDEX('[1]Toda FM'!$H:$M,_xlpm.rw,0),_xlpm.diffs,ABS(_xlpm.vals-F163),_xlpm.mn,MIN(_xlpm.diffs),_xlpm.pos,MATCH(_xlpm.mn,_xlpm.diffs,0),IF(_xlpm.mn/F163&lt;=0.02,TRIM(INDEX('[1]Toda FM'!$H$2:$M$2,1,_xlpm.pos)),"")),"")</f>
        <v>F8</v>
      </c>
      <c r="I163" s="3">
        <f>IFERROR(_xlfn.XLOOKUP(B163,'[1]Toda FM'!$A:$A,'[1]Toda FM'!$R:$R,""),"")</f>
        <v>0</v>
      </c>
    </row>
    <row r="164" spans="1:9" x14ac:dyDescent="0.25">
      <c r="A164" s="9" t="s">
        <v>54</v>
      </c>
      <c r="B164" s="9" t="s">
        <v>47</v>
      </c>
      <c r="C164" s="8">
        <v>78.224999999999994</v>
      </c>
      <c r="D164" s="7">
        <v>70.78</v>
      </c>
      <c r="E164" s="11">
        <f t="shared" si="5"/>
        <v>4.9872845436564013E-2</v>
      </c>
      <c r="F164" s="10">
        <v>74.31</v>
      </c>
      <c r="G164" s="4">
        <f>IFERROR(_xlfn.XLOOKUP(B164,'[1]Toda FM'!$A:$A,'[1]Toda FM'!$Q:$Q,""),"")</f>
        <v>0.05</v>
      </c>
      <c r="H164" s="3" t="str" cm="1">
        <f t="array" ref="H164">IFERROR(_xlfn.LET(_xlpm.rw,MATCH(B164,'[1]Toda FM'!$A:$A,0),_xlpm.vals,INDEX('[1]Toda FM'!$H:$M,_xlpm.rw,0),_xlpm.diffs,ABS(_xlpm.vals-F164),_xlpm.mn,MIN(_xlpm.diffs),_xlpm.pos,MATCH(_xlpm.mn,_xlpm.diffs,0),IF(_xlpm.mn/F164&lt;=0.02,TRIM(INDEX('[1]Toda FM'!$H$2:$M$2,1,_xlpm.pos)),"")),"")</f>
        <v>F6</v>
      </c>
      <c r="I164" s="3">
        <f>IFERROR(_xlfn.XLOOKUP(B164,'[1]Toda FM'!$A:$A,'[1]Toda FM'!$R:$R,""),"")</f>
        <v>0</v>
      </c>
    </row>
    <row r="165" spans="1:9" x14ac:dyDescent="0.25">
      <c r="A165" s="9" t="s">
        <v>49</v>
      </c>
      <c r="B165" s="9" t="s">
        <v>53</v>
      </c>
      <c r="C165" s="8">
        <v>208.95</v>
      </c>
      <c r="D165" s="7">
        <v>189.05</v>
      </c>
      <c r="E165" s="11">
        <f t="shared" si="5"/>
        <v>4.9999999999999926E-2</v>
      </c>
      <c r="F165" s="10">
        <v>198.5025</v>
      </c>
      <c r="G165" s="4">
        <f>IFERROR(_xlfn.XLOOKUP(B165,'[1]Toda FM'!$A:$A,'[1]Toda FM'!$Q:$Q,""),"")</f>
        <v>0.05</v>
      </c>
      <c r="H165" s="3" t="str" cm="1">
        <f t="array" ref="H165">IFERROR(_xlfn.LET(_xlpm.rw,MATCH(B165,'[1]Toda FM'!$A:$A,0),_xlpm.vals,INDEX('[1]Toda FM'!$H:$M,_xlpm.rw,0),_xlpm.diffs,ABS(_xlpm.vals-F165),_xlpm.mn,MIN(_xlpm.diffs),_xlpm.pos,MATCH(_xlpm.mn,_xlpm.diffs,0),IF(_xlpm.mn/F165&lt;=0.02,TRIM(INDEX('[1]Toda FM'!$H$2:$M$2,1,_xlpm.pos)),"")),"")</f>
        <v>F6</v>
      </c>
      <c r="I165" s="3" t="str">
        <f>IFERROR(_xlfn.XLOOKUP(B165,'[1]Toda FM'!$A:$A,'[1]Toda FM'!$R:$R,""),"")</f>
        <v>REVOLUTION</v>
      </c>
    </row>
    <row r="166" spans="1:9" x14ac:dyDescent="0.25">
      <c r="A166" s="9" t="s">
        <v>49</v>
      </c>
      <c r="B166" s="9" t="s">
        <v>52</v>
      </c>
      <c r="C166" s="8">
        <v>74.37</v>
      </c>
      <c r="D166" s="7">
        <v>69.5</v>
      </c>
      <c r="E166" s="11">
        <f t="shared" si="5"/>
        <v>1.6568345323740987E-2</v>
      </c>
      <c r="F166" s="10">
        <v>70.651499999999999</v>
      </c>
      <c r="G166" s="4">
        <f>IFERROR(_xlfn.XLOOKUP(B166,'[1]Toda FM'!$A:$A,'[1]Toda FM'!$Q:$Q,""),"")</f>
        <v>0</v>
      </c>
      <c r="H166" s="3" t="str" cm="1">
        <f t="array" ref="H166">IFERROR(_xlfn.LET(_xlpm.rw,MATCH(B166,'[1]Toda FM'!$A:$A,0),_xlpm.vals,INDEX('[1]Toda FM'!$H:$M,_xlpm.rw,0),_xlpm.diffs,ABS(_xlpm.vals-F166),_xlpm.mn,MIN(_xlpm.diffs),_xlpm.pos,MATCH(_xlpm.mn,_xlpm.diffs,0),IF(_xlpm.mn/F166&lt;=0.02,TRIM(INDEX('[1]Toda FM'!$H$2:$M$2,1,_xlpm.pos)),"")),"")</f>
        <v>F6</v>
      </c>
      <c r="I166" s="3" t="str">
        <f>IFERROR(_xlfn.XLOOKUP(B166,'[1]Toda FM'!$A:$A,'[1]Toda FM'!$R:$R,""),"")</f>
        <v>WATER 
REPELLENT</v>
      </c>
    </row>
    <row r="167" spans="1:9" x14ac:dyDescent="0.25">
      <c r="A167" s="9" t="s">
        <v>49</v>
      </c>
      <c r="B167" s="9" t="s">
        <v>51</v>
      </c>
      <c r="C167" s="8">
        <v>101.12</v>
      </c>
      <c r="D167" s="7">
        <v>84.5</v>
      </c>
      <c r="E167" s="11">
        <f t="shared" si="5"/>
        <v>7.7041420118343251E-2</v>
      </c>
      <c r="F167" s="10">
        <v>91.01</v>
      </c>
      <c r="G167" s="4">
        <f>IFERROR(_xlfn.XLOOKUP(B167,'[1]Toda FM'!$A:$A,'[1]Toda FM'!$Q:$Q,""),"")</f>
        <v>0</v>
      </c>
      <c r="H167" s="3" t="str" cm="1">
        <f t="array" ref="H167">IFERROR(_xlfn.LET(_xlpm.rw,MATCH(B167,'[1]Toda FM'!$A:$A,0),_xlpm.vals,INDEX('[1]Toda FM'!$H:$M,_xlpm.rw,0),_xlpm.diffs,ABS(_xlpm.vals-F167),_xlpm.mn,MIN(_xlpm.diffs),_xlpm.pos,MATCH(_xlpm.mn,_xlpm.diffs,0),IF(_xlpm.mn/F167&lt;=0.02,TRIM(INDEX('[1]Toda FM'!$H$2:$M$2,1,_xlpm.pos)),"")),"")</f>
        <v>F8</v>
      </c>
      <c r="I167" s="3" t="str">
        <f>IFERROR(_xlfn.XLOOKUP(B167,'[1]Toda FM'!$A:$A,'[1]Toda FM'!$R:$R,""),"")</f>
        <v>WATER 
REPELLENT</v>
      </c>
    </row>
    <row r="168" spans="1:9" x14ac:dyDescent="0.25">
      <c r="A168" s="9" t="s">
        <v>49</v>
      </c>
      <c r="B168" s="9" t="s">
        <v>50</v>
      </c>
      <c r="C168" s="8">
        <v>186.45</v>
      </c>
      <c r="D168" s="7">
        <v>152.1</v>
      </c>
      <c r="E168" s="11">
        <f t="shared" si="5"/>
        <v>0.10325443786982257</v>
      </c>
      <c r="F168" s="10">
        <v>167.80500000000001</v>
      </c>
      <c r="G168" s="4">
        <f>IFERROR(_xlfn.XLOOKUP(B168,'[1]Toda FM'!$A:$A,'[1]Toda FM'!$Q:$Q,""),"")</f>
        <v>0.1</v>
      </c>
      <c r="H168" s="3" t="str" cm="1">
        <f t="array" ref="H168">IFERROR(_xlfn.LET(_xlpm.rw,MATCH(B168,'[1]Toda FM'!$A:$A,0),_xlpm.vals,INDEX('[1]Toda FM'!$H:$M,_xlpm.rw,0),_xlpm.diffs,ABS(_xlpm.vals-F168),_xlpm.mn,MIN(_xlpm.diffs),_xlpm.pos,MATCH(_xlpm.mn,_xlpm.diffs,0),IF(_xlpm.mn/F168&lt;=0.02,TRIM(INDEX('[1]Toda FM'!$H$2:$M$2,1,_xlpm.pos)),"")),"")</f>
        <v>F8</v>
      </c>
      <c r="I168" s="3">
        <f>IFERROR(_xlfn.XLOOKUP(B168,'[1]Toda FM'!$A:$A,'[1]Toda FM'!$R:$R,""),"")</f>
        <v>0</v>
      </c>
    </row>
    <row r="169" spans="1:9" x14ac:dyDescent="0.25">
      <c r="A169" s="9" t="s">
        <v>49</v>
      </c>
      <c r="B169" s="9" t="s">
        <v>48</v>
      </c>
      <c r="C169" s="8">
        <v>271.95</v>
      </c>
      <c r="D169" s="7">
        <v>246.05</v>
      </c>
      <c r="E169" s="11">
        <f t="shared" si="5"/>
        <v>5.0000000000000037E-2</v>
      </c>
      <c r="F169" s="10">
        <v>258.35250000000002</v>
      </c>
      <c r="G169" s="4">
        <f>IFERROR(_xlfn.XLOOKUP(B169,'[1]Toda FM'!$A:$A,'[1]Toda FM'!$Q:$Q,""),"")</f>
        <v>0.05</v>
      </c>
      <c r="H169" s="3" t="str" cm="1">
        <f t="array" ref="H169">IFERROR(_xlfn.LET(_xlpm.rw,MATCH(B169,'[1]Toda FM'!$A:$A,0),_xlpm.vals,INDEX('[1]Toda FM'!$H:$M,_xlpm.rw,0),_xlpm.diffs,ABS(_xlpm.vals-F169),_xlpm.mn,MIN(_xlpm.diffs),_xlpm.pos,MATCH(_xlpm.mn,_xlpm.diffs,0),IF(_xlpm.mn/F169&lt;=0.02,TRIM(INDEX('[1]Toda FM'!$H$2:$M$2,1,_xlpm.pos)),"")),"")</f>
        <v>F6</v>
      </c>
      <c r="I169" s="3" t="str">
        <f>IFERROR(_xlfn.XLOOKUP(B169,'[1]Toda FM'!$A:$A,'[1]Toda FM'!$R:$R,""),"")</f>
        <v>REVOLUTION</v>
      </c>
    </row>
    <row r="170" spans="1:9" x14ac:dyDescent="0.25">
      <c r="A170" s="9" t="s">
        <v>46</v>
      </c>
      <c r="B170" s="9" t="s">
        <v>47</v>
      </c>
      <c r="C170" s="8">
        <v>78.224999999999994</v>
      </c>
      <c r="D170" s="7">
        <v>70.78</v>
      </c>
      <c r="E170" s="11">
        <f t="shared" si="5"/>
        <v>4.9872845436564013E-2</v>
      </c>
      <c r="F170" s="10">
        <v>74.31</v>
      </c>
      <c r="G170" s="4">
        <f>IFERROR(_xlfn.XLOOKUP(B170,'[1]Toda FM'!$A:$A,'[1]Toda FM'!$Q:$Q,""),"")</f>
        <v>0.05</v>
      </c>
      <c r="H170" s="3" t="str" cm="1">
        <f t="array" ref="H170">IFERROR(_xlfn.LET(_xlpm.rw,MATCH(B170,'[1]Toda FM'!$A:$A,0),_xlpm.vals,INDEX('[1]Toda FM'!$H:$M,_xlpm.rw,0),_xlpm.diffs,ABS(_xlpm.vals-F170),_xlpm.mn,MIN(_xlpm.diffs),_xlpm.pos,MATCH(_xlpm.mn,_xlpm.diffs,0),IF(_xlpm.mn/F170&lt;=0.02,TRIM(INDEX('[1]Toda FM'!$H$2:$M$2,1,_xlpm.pos)),"")),"")</f>
        <v>F6</v>
      </c>
      <c r="I170" s="3">
        <f>IFERROR(_xlfn.XLOOKUP(B170,'[1]Toda FM'!$A:$A,'[1]Toda FM'!$R:$R,""),"")</f>
        <v>0</v>
      </c>
    </row>
    <row r="171" spans="1:9" x14ac:dyDescent="0.25">
      <c r="A171" s="9" t="s">
        <v>46</v>
      </c>
      <c r="B171" s="9" t="s">
        <v>44</v>
      </c>
      <c r="C171" s="8">
        <v>74</v>
      </c>
      <c r="D171" s="7">
        <v>74</v>
      </c>
      <c r="E171" s="11">
        <f t="shared" si="5"/>
        <v>5.0000000000000037E-2</v>
      </c>
      <c r="F171" s="10">
        <v>77.7</v>
      </c>
      <c r="G171" s="4">
        <f>IFERROR(_xlfn.XLOOKUP(B171,'[1]Toda FM'!$A:$A,'[1]Toda FM'!$Q:$Q,""),"")</f>
        <v>0.05</v>
      </c>
      <c r="H171" s="3" t="str" cm="1">
        <f t="array" ref="H171">IFERROR(_xlfn.LET(_xlpm.rw,MATCH(B171,'[1]Toda FM'!$A:$A,0),_xlpm.vals,INDEX('[1]Toda FM'!$H:$M,_xlpm.rw,0),_xlpm.diffs,ABS(_xlpm.vals-F171),_xlpm.mn,MIN(_xlpm.diffs),_xlpm.pos,MATCH(_xlpm.mn,_xlpm.diffs,0),IF(_xlpm.mn/F171&lt;=0.02,TRIM(INDEX('[1]Toda FM'!$H$2:$M$2,1,_xlpm.pos)),"")),"")</f>
        <v>F5</v>
      </c>
      <c r="I171" s="3">
        <f>IFERROR(_xlfn.XLOOKUP(B171,'[1]Toda FM'!$A:$A,'[1]Toda FM'!$R:$R,""),"")</f>
        <v>0</v>
      </c>
    </row>
    <row r="172" spans="1:9" x14ac:dyDescent="0.25">
      <c r="A172" s="9" t="s">
        <v>45</v>
      </c>
      <c r="B172" s="9" t="s">
        <v>20</v>
      </c>
      <c r="C172" s="8">
        <v>72.98</v>
      </c>
      <c r="D172" s="7">
        <v>66.03</v>
      </c>
      <c r="E172" s="11">
        <f t="shared" si="5"/>
        <v>4.9977283053157615E-2</v>
      </c>
      <c r="F172" s="10">
        <v>69.33</v>
      </c>
      <c r="G172" s="4">
        <f>IFERROR(_xlfn.XLOOKUP(B172,'[1]Toda FM'!$A:$A,'[1]Toda FM'!$Q:$Q,""),"")</f>
        <v>0.05</v>
      </c>
      <c r="H172" s="3" t="str" cm="1">
        <f t="array" ref="H172">IFERROR(_xlfn.LET(_xlpm.rw,MATCH(B172,'[1]Toda FM'!$A:$A,0),_xlpm.vals,INDEX('[1]Toda FM'!$H:$M,_xlpm.rw,0),_xlpm.diffs,ABS(_xlpm.vals-F172),_xlpm.mn,MIN(_xlpm.diffs),_xlpm.pos,MATCH(_xlpm.mn,_xlpm.diffs,0),IF(_xlpm.mn/F172&lt;=0.02,TRIM(INDEX('[1]Toda FM'!$H$2:$M$2,1,_xlpm.pos)),"")),"")</f>
        <v>F6</v>
      </c>
      <c r="I172" s="3">
        <f>IFERROR(_xlfn.XLOOKUP(B172,'[1]Toda FM'!$A:$A,'[1]Toda FM'!$R:$R,""),"")</f>
        <v>0</v>
      </c>
    </row>
    <row r="173" spans="1:9" x14ac:dyDescent="0.25">
      <c r="A173" s="9" t="s">
        <v>45</v>
      </c>
      <c r="B173" s="9" t="s">
        <v>44</v>
      </c>
      <c r="C173" s="8">
        <v>77.7</v>
      </c>
      <c r="D173" s="7">
        <v>70.3</v>
      </c>
      <c r="E173" s="11">
        <f t="shared" si="5"/>
        <v>5.0071123755334228E-2</v>
      </c>
      <c r="F173" s="10">
        <v>73.819999999999993</v>
      </c>
      <c r="G173" s="4">
        <f>IFERROR(_xlfn.XLOOKUP(B173,'[1]Toda FM'!$A:$A,'[1]Toda FM'!$Q:$Q,""),"")</f>
        <v>0.05</v>
      </c>
      <c r="H173" s="3" t="str" cm="1">
        <f t="array" ref="H173">IFERROR(_xlfn.LET(_xlpm.rw,MATCH(B173,'[1]Toda FM'!$A:$A,0),_xlpm.vals,INDEX('[1]Toda FM'!$H:$M,_xlpm.rw,0),_xlpm.diffs,ABS(_xlpm.vals-F173),_xlpm.mn,MIN(_xlpm.diffs),_xlpm.pos,MATCH(_xlpm.mn,_xlpm.diffs,0),IF(_xlpm.mn/F173&lt;=0.02,TRIM(INDEX('[1]Toda FM'!$H$2:$M$2,1,_xlpm.pos)),"")),"")</f>
        <v>F6</v>
      </c>
      <c r="I173" s="3">
        <f>IFERROR(_xlfn.XLOOKUP(B173,'[1]Toda FM'!$A:$A,'[1]Toda FM'!$R:$R,""),"")</f>
        <v>0</v>
      </c>
    </row>
    <row r="174" spans="1:9" x14ac:dyDescent="0.25">
      <c r="A174" s="9" t="s">
        <v>41</v>
      </c>
      <c r="B174" s="9" t="s">
        <v>43</v>
      </c>
      <c r="C174" s="8">
        <v>85.05</v>
      </c>
      <c r="D174" s="7">
        <v>68.040000000000006</v>
      </c>
      <c r="E174" s="11">
        <f t="shared" si="5"/>
        <v>6.2463256907701346E-2</v>
      </c>
      <c r="F174" s="10">
        <v>72.290000000000006</v>
      </c>
      <c r="G174" s="4">
        <f>IFERROR(_xlfn.XLOOKUP(B174,'[1]Toda FM'!$A:$A,'[1]Toda FM'!$Q:$Q,""),"")</f>
        <v>0</v>
      </c>
      <c r="H174" s="3" t="str" cm="1">
        <f t="array" ref="H174">IFERROR(_xlfn.LET(_xlpm.rw,MATCH(B174,'[1]Toda FM'!$A:$A,0),_xlpm.vals,INDEX('[1]Toda FM'!$H:$M,_xlpm.rw,0),_xlpm.diffs,ABS(_xlpm.vals-F174),_xlpm.mn,MIN(_xlpm.diffs),_xlpm.pos,MATCH(_xlpm.mn,_xlpm.diffs,0),IF(_xlpm.mn/F174&lt;=0.02,TRIM(INDEX('[1]Toda FM'!$H$2:$M$2,1,_xlpm.pos)),"")),"")</f>
        <v>F10</v>
      </c>
      <c r="I174" s="3" t="str">
        <f>IFERROR(_xlfn.XLOOKUP(B174,'[1]Toda FM'!$A:$A,'[1]Toda FM'!$R:$R,""),"")</f>
        <v>WATER 
REPELLENT</v>
      </c>
    </row>
    <row r="175" spans="1:9" x14ac:dyDescent="0.25">
      <c r="A175" s="9" t="s">
        <v>41</v>
      </c>
      <c r="B175" s="9" t="s">
        <v>42</v>
      </c>
      <c r="C175" s="8">
        <v>84.5</v>
      </c>
      <c r="D175" s="7">
        <v>67.599999999999994</v>
      </c>
      <c r="E175" s="11">
        <f t="shared" si="5"/>
        <v>6.2573964497041487E-2</v>
      </c>
      <c r="F175" s="10">
        <v>71.83</v>
      </c>
      <c r="G175" s="4">
        <f>IFERROR(_xlfn.XLOOKUP(B175,'[1]Toda FM'!$A:$A,'[1]Toda FM'!$Q:$Q,""),"")</f>
        <v>0</v>
      </c>
      <c r="H175" s="3" t="str" cm="1">
        <f t="array" ref="H175">IFERROR(_xlfn.LET(_xlpm.rw,MATCH(B175,'[1]Toda FM'!$A:$A,0),_xlpm.vals,INDEX('[1]Toda FM'!$H:$M,_xlpm.rw,0),_xlpm.diffs,ABS(_xlpm.vals-F175),_xlpm.mn,MIN(_xlpm.diffs),_xlpm.pos,MATCH(_xlpm.mn,_xlpm.diffs,0),IF(_xlpm.mn/F175&lt;=0.02,TRIM(INDEX('[1]Toda FM'!$H$2:$M$2,1,_xlpm.pos)),"")),"")</f>
        <v>F10</v>
      </c>
      <c r="I175" s="3">
        <f>IFERROR(_xlfn.XLOOKUP(B175,'[1]Toda FM'!$A:$A,'[1]Toda FM'!$R:$R,""),"")</f>
        <v>0</v>
      </c>
    </row>
    <row r="176" spans="1:9" x14ac:dyDescent="0.25">
      <c r="A176" s="9" t="s">
        <v>41</v>
      </c>
      <c r="B176" s="9" t="s">
        <v>39</v>
      </c>
      <c r="C176" s="8">
        <v>79.5</v>
      </c>
      <c r="D176" s="7">
        <v>63.6</v>
      </c>
      <c r="E176" s="11">
        <f t="shared" ref="E176:E195" si="6">IFERROR((F176-D176)/D176,"")</f>
        <v>6.2578616352201202E-2</v>
      </c>
      <c r="F176" s="10">
        <v>67.58</v>
      </c>
      <c r="G176" s="4">
        <f>IFERROR(_xlfn.XLOOKUP(B176,'[1]Toda FM'!$A:$A,'[1]Toda FM'!$Q:$Q,""),"")</f>
        <v>0</v>
      </c>
      <c r="H176" s="3" t="str" cm="1">
        <f t="array" ref="H176">IFERROR(_xlfn.LET(_xlpm.rw,MATCH(B176,'[1]Toda FM'!$A:$A,0),_xlpm.vals,INDEX('[1]Toda FM'!$H:$M,_xlpm.rw,0),_xlpm.diffs,ABS(_xlpm.vals-F176),_xlpm.mn,MIN(_xlpm.diffs),_xlpm.pos,MATCH(_xlpm.mn,_xlpm.diffs,0),IF(_xlpm.mn/F176&lt;=0.02,TRIM(INDEX('[1]Toda FM'!$H$2:$M$2,1,_xlpm.pos)),"")),"")</f>
        <v>F10</v>
      </c>
      <c r="I176" s="3">
        <f>IFERROR(_xlfn.XLOOKUP(B176,'[1]Toda FM'!$A:$A,'[1]Toda FM'!$R:$R,""),"")</f>
        <v>0</v>
      </c>
    </row>
    <row r="177" spans="1:10" x14ac:dyDescent="0.25">
      <c r="A177" s="9" t="s">
        <v>40</v>
      </c>
      <c r="B177" s="9" t="s">
        <v>31</v>
      </c>
      <c r="C177" s="8">
        <v>79.5</v>
      </c>
      <c r="D177" s="7">
        <v>75.53</v>
      </c>
      <c r="E177" s="11">
        <f t="shared" si="6"/>
        <v>-6.6198861379524056E-5</v>
      </c>
      <c r="F177" s="10">
        <v>75.525000000000006</v>
      </c>
      <c r="G177" s="4">
        <f>IFERROR(_xlfn.XLOOKUP(B177,'[1]Toda FM'!$A:$A,'[1]Toda FM'!$Q:$Q,""),"")</f>
        <v>0</v>
      </c>
      <c r="H177" s="3" t="str" cm="1">
        <f t="array" ref="H177">IFERROR(_xlfn.LET(_xlpm.rw,MATCH(B177,'[1]Toda FM'!$A:$A,0),_xlpm.vals,INDEX('[1]Toda FM'!$H:$M,_xlpm.rw,0),_xlpm.diffs,ABS(_xlpm.vals-F177),_xlpm.mn,MIN(_xlpm.diffs),_xlpm.pos,MATCH(_xlpm.mn,_xlpm.diffs,0),IF(_xlpm.mn/F177&lt;=0.02,TRIM(INDEX('[1]Toda FM'!$H$2:$M$2,1,_xlpm.pos)),"")),"")</f>
        <v>F6</v>
      </c>
      <c r="I177" s="3">
        <f>IFERROR(_xlfn.XLOOKUP(B177,'[1]Toda FM'!$A:$A,'[1]Toda FM'!$R:$R,""),"")</f>
        <v>0</v>
      </c>
    </row>
    <row r="178" spans="1:10" x14ac:dyDescent="0.25">
      <c r="A178" s="9" t="s">
        <v>38</v>
      </c>
      <c r="B178" s="9" t="s">
        <v>39</v>
      </c>
      <c r="C178" s="8">
        <v>79.5</v>
      </c>
      <c r="D178" s="7">
        <v>75.53</v>
      </c>
      <c r="E178" s="11">
        <f t="shared" si="6"/>
        <v>-6.6198861379524056E-5</v>
      </c>
      <c r="F178" s="10">
        <v>75.525000000000006</v>
      </c>
      <c r="G178" s="4">
        <f>IFERROR(_xlfn.XLOOKUP(B178,'[1]Toda FM'!$A:$A,'[1]Toda FM'!$Q:$Q,""),"")</f>
        <v>0</v>
      </c>
      <c r="H178" s="3" t="str" cm="1">
        <f t="array" ref="H178">IFERROR(_xlfn.LET(_xlpm.rw,MATCH(B178,'[1]Toda FM'!$A:$A,0),_xlpm.vals,INDEX('[1]Toda FM'!$H:$M,_xlpm.rw,0),_xlpm.diffs,ABS(_xlpm.vals-F178),_xlpm.mn,MIN(_xlpm.diffs),_xlpm.pos,MATCH(_xlpm.mn,_xlpm.diffs,0),IF(_xlpm.mn/F178&lt;=0.02,TRIM(INDEX('[1]Toda FM'!$H$2:$M$2,1,_xlpm.pos)),"")),"")</f>
        <v>F6</v>
      </c>
      <c r="I178" s="3">
        <f>IFERROR(_xlfn.XLOOKUP(B178,'[1]Toda FM'!$A:$A,'[1]Toda FM'!$R:$R,""),"")</f>
        <v>0</v>
      </c>
    </row>
    <row r="179" spans="1:10" x14ac:dyDescent="0.25">
      <c r="A179" s="9" t="s">
        <v>38</v>
      </c>
      <c r="B179" s="9" t="s">
        <v>37</v>
      </c>
      <c r="C179" s="8">
        <v>109.45</v>
      </c>
      <c r="D179" s="7">
        <v>89.55</v>
      </c>
      <c r="E179" s="11">
        <f t="shared" si="6"/>
        <v>0.10005583472920165</v>
      </c>
      <c r="F179" s="10">
        <v>98.51</v>
      </c>
      <c r="G179" s="4">
        <f>IFERROR(_xlfn.XLOOKUP(B179,'[1]Toda FM'!$A:$A,'[1]Toda FM'!$Q:$Q,""),"")</f>
        <v>0.1</v>
      </c>
      <c r="H179" s="3" t="str" cm="1">
        <f t="array" ref="H179">IFERROR(_xlfn.LET(_xlpm.rw,MATCH(B179,'[1]Toda FM'!$A:$A,0),_xlpm.vals,INDEX('[1]Toda FM'!$H:$M,_xlpm.rw,0),_xlpm.diffs,ABS(_xlpm.vals-F179),_xlpm.mn,MIN(_xlpm.diffs),_xlpm.pos,MATCH(_xlpm.mn,_xlpm.diffs,0),IF(_xlpm.mn/F179&lt;=0.02,TRIM(INDEX('[1]Toda FM'!$H$2:$M$2,1,_xlpm.pos)),"")),"")</f>
        <v>F8</v>
      </c>
      <c r="I179" s="3">
        <f>IFERROR(_xlfn.XLOOKUP(B179,'[1]Toda FM'!$A:$A,'[1]Toda FM'!$R:$R,""),"")</f>
        <v>0</v>
      </c>
    </row>
    <row r="180" spans="1:10" x14ac:dyDescent="0.25">
      <c r="A180" s="9" t="s">
        <v>32</v>
      </c>
      <c r="B180" s="9" t="s">
        <v>36</v>
      </c>
      <c r="C180" s="8">
        <v>69</v>
      </c>
      <c r="D180" s="7">
        <v>48.3</v>
      </c>
      <c r="E180" s="38">
        <f t="shared" si="6"/>
        <v>0.10000000000000012</v>
      </c>
      <c r="F180" s="39">
        <f>D180*1.1</f>
        <v>53.13</v>
      </c>
      <c r="G180" s="4">
        <f>IFERROR(_xlfn.XLOOKUP(B180,'[1]Toda FM'!$A:$A,'[1]Toda FM'!$Q:$Q,""),"")</f>
        <v>0</v>
      </c>
      <c r="H180" s="3"/>
      <c r="I180" s="3">
        <f>IFERROR(_xlfn.XLOOKUP(B180,'[1]Toda FM'!$A:$A,'[1]Toda FM'!$R:$R,""),"")</f>
        <v>0</v>
      </c>
      <c r="J180" s="2"/>
    </row>
    <row r="181" spans="1:10" x14ac:dyDescent="0.25">
      <c r="A181" s="9" t="s">
        <v>32</v>
      </c>
      <c r="B181" s="9" t="s">
        <v>2</v>
      </c>
      <c r="C181" s="8">
        <v>78.224999999999994</v>
      </c>
      <c r="D181" s="7">
        <v>67.2</v>
      </c>
      <c r="E181" s="11">
        <f t="shared" si="6"/>
        <v>4.7619047619047658E-2</v>
      </c>
      <c r="F181" s="10">
        <v>70.400000000000006</v>
      </c>
      <c r="G181" s="4">
        <f>IFERROR(_xlfn.XLOOKUP(B181,'[1]Toda FM'!$A:$A,'[1]Toda FM'!$Q:$Q,""),"")</f>
        <v>0.05</v>
      </c>
      <c r="H181" s="3" t="str" cm="1">
        <f t="array" ref="H181">IFERROR(_xlfn.LET(_xlpm.rw,MATCH(B181,'[1]Toda FM'!$A:$A,0),_xlpm.vals,INDEX('[1]Toda FM'!$H:$M,_xlpm.rw,0),_xlpm.diffs,ABS(_xlpm.vals-F181),_xlpm.mn,MIN(_xlpm.diffs),_xlpm.pos,MATCH(_xlpm.mn,_xlpm.diffs,0),IF(_xlpm.mn/F181&lt;=0.02,TRIM(INDEX('[1]Toda FM'!$H$2:$M$2,1,_xlpm.pos)),"")),"")</f>
        <v>F8</v>
      </c>
      <c r="I181" s="3">
        <f>IFERROR(_xlfn.XLOOKUP(B181,'[1]Toda FM'!$A:$A,'[1]Toda FM'!$R:$R,""),"")</f>
        <v>0</v>
      </c>
      <c r="J181" s="2"/>
    </row>
    <row r="182" spans="1:10" x14ac:dyDescent="0.25">
      <c r="A182" s="9" t="s">
        <v>32</v>
      </c>
      <c r="B182" s="9" t="s">
        <v>35</v>
      </c>
      <c r="C182" s="8">
        <v>136.94999999999999</v>
      </c>
      <c r="D182" s="7">
        <v>89.5</v>
      </c>
      <c r="E182" s="38">
        <f t="shared" si="6"/>
        <v>0.10000000000000003</v>
      </c>
      <c r="F182" s="39">
        <f>D182*1.1</f>
        <v>98.45</v>
      </c>
      <c r="G182" s="4">
        <f>IFERROR(_xlfn.XLOOKUP(B182,'[1]Toda FM'!$A:$A,'[1]Toda FM'!$Q:$Q,""),"")</f>
        <v>0.1</v>
      </c>
      <c r="H182" s="3" t="str" cm="1">
        <f t="array" ref="H182">IFERROR(_xlfn.LET(_xlpm.rw,MATCH(B182,'[1]Toda FM'!$A:$A,0),_xlpm.vals,INDEX('[1]Toda FM'!$H:$M,_xlpm.rw,0),_xlpm.diffs,ABS(_xlpm.vals-F182),_xlpm.mn,MIN(_xlpm.diffs),_xlpm.pos,MATCH(_xlpm.mn,_xlpm.diffs,0),IF(_xlpm.mn/F182&lt;=0.02,TRIM(INDEX('[1]Toda FM'!$H$2:$M$2,1,_xlpm.pos)),"")),"")</f>
        <v/>
      </c>
      <c r="I182" s="3">
        <f>IFERROR(_xlfn.XLOOKUP(B182,'[1]Toda FM'!$A:$A,'[1]Toda FM'!$R:$R,""),"")</f>
        <v>0</v>
      </c>
      <c r="J182" s="2"/>
    </row>
    <row r="183" spans="1:10" x14ac:dyDescent="0.25">
      <c r="A183" s="9" t="s">
        <v>32</v>
      </c>
      <c r="B183" s="9" t="s">
        <v>34</v>
      </c>
      <c r="C183" s="8">
        <v>93.3</v>
      </c>
      <c r="D183" s="7">
        <v>73.680000000000007</v>
      </c>
      <c r="E183" s="11">
        <f t="shared" si="6"/>
        <v>7.6411509229098742E-2</v>
      </c>
      <c r="F183" s="10">
        <v>79.31</v>
      </c>
      <c r="G183" s="4">
        <f>IFERROR(_xlfn.XLOOKUP(B183,'[1]Toda FM'!$A:$A,'[1]Toda FM'!$Q:$Q,""),"")</f>
        <v>0</v>
      </c>
      <c r="H183" s="3" t="str" cm="1">
        <f t="array" ref="H183">IFERROR(_xlfn.LET(_xlpm.rw,MATCH(B183,'[1]Toda FM'!$A:$A,0),_xlpm.vals,INDEX('[1]Toda FM'!$H:$M,_xlpm.rw,0),_xlpm.diffs,ABS(_xlpm.vals-F183),_xlpm.mn,MIN(_xlpm.diffs),_xlpm.pos,MATCH(_xlpm.mn,_xlpm.diffs,0),IF(_xlpm.mn/F183&lt;=0.02,TRIM(INDEX('[1]Toda FM'!$H$2:$M$2,1,_xlpm.pos)),"")),"")</f>
        <v>F10</v>
      </c>
      <c r="I183" s="3">
        <f>IFERROR(_xlfn.XLOOKUP(B183,'[1]Toda FM'!$A:$A,'[1]Toda FM'!$R:$R,""),"")</f>
        <v>0</v>
      </c>
      <c r="J183" s="2"/>
    </row>
    <row r="184" spans="1:10" x14ac:dyDescent="0.25">
      <c r="A184" s="9" t="s">
        <v>32</v>
      </c>
      <c r="B184" s="9" t="s">
        <v>33</v>
      </c>
      <c r="C184" s="8">
        <v>77.7</v>
      </c>
      <c r="D184" s="7">
        <v>66.75</v>
      </c>
      <c r="E184" s="11">
        <f t="shared" si="6"/>
        <v>4.7640449438202351E-2</v>
      </c>
      <c r="F184" s="10">
        <v>69.930000000000007</v>
      </c>
      <c r="G184" s="4">
        <f>IFERROR(_xlfn.XLOOKUP(B184,'[1]Toda FM'!$A:$A,'[1]Toda FM'!$Q:$Q,""),"")</f>
        <v>0.05</v>
      </c>
      <c r="H184" s="3" t="str" cm="1">
        <f t="array" ref="H184">IFERROR(_xlfn.LET(_xlpm.rw,MATCH(B184,'[1]Toda FM'!$A:$A,0),_xlpm.vals,INDEX('[1]Toda FM'!$H:$M,_xlpm.rw,0),_xlpm.diffs,ABS(_xlpm.vals-F184),_xlpm.mn,MIN(_xlpm.diffs),_xlpm.pos,MATCH(_xlpm.mn,_xlpm.diffs,0),IF(_xlpm.mn/F184&lt;=0.02,TRIM(INDEX('[1]Toda FM'!$H$2:$M$2,1,_xlpm.pos)),"")),"")</f>
        <v>F8</v>
      </c>
      <c r="I184" s="3">
        <f>IFERROR(_xlfn.XLOOKUP(B184,'[1]Toda FM'!$A:$A,'[1]Toda FM'!$R:$R,""),"")</f>
        <v>0</v>
      </c>
      <c r="J184" s="2"/>
    </row>
    <row r="185" spans="1:10" x14ac:dyDescent="0.25">
      <c r="A185" s="9" t="s">
        <v>32</v>
      </c>
      <c r="B185" s="9" t="s">
        <v>31</v>
      </c>
      <c r="C185" s="8">
        <v>79.5</v>
      </c>
      <c r="D185" s="7">
        <v>63.6</v>
      </c>
      <c r="E185" s="11">
        <f t="shared" si="6"/>
        <v>6.2578616352201202E-2</v>
      </c>
      <c r="F185" s="10">
        <v>67.58</v>
      </c>
      <c r="G185" s="4">
        <f>IFERROR(_xlfn.XLOOKUP(B185,'[1]Toda FM'!$A:$A,'[1]Toda FM'!$Q:$Q,""),"")</f>
        <v>0</v>
      </c>
      <c r="H185" s="3" t="str" cm="1">
        <f t="array" ref="H185">IFERROR(_xlfn.LET(_xlpm.rw,MATCH(B185,'[1]Toda FM'!$A:$A,0),_xlpm.vals,INDEX('[1]Toda FM'!$H:$M,_xlpm.rw,0),_xlpm.diffs,ABS(_xlpm.vals-F185),_xlpm.mn,MIN(_xlpm.diffs),_xlpm.pos,MATCH(_xlpm.mn,_xlpm.diffs,0),IF(_xlpm.mn/F185&lt;=0.02,TRIM(INDEX('[1]Toda FM'!$H$2:$M$2,1,_xlpm.pos)),"")),"")</f>
        <v>F10</v>
      </c>
      <c r="I185" s="3">
        <f>IFERROR(_xlfn.XLOOKUP(B185,'[1]Toda FM'!$A:$A,'[1]Toda FM'!$R:$R,""),"")</f>
        <v>0</v>
      </c>
      <c r="J185" s="2"/>
    </row>
    <row r="186" spans="1:10" x14ac:dyDescent="0.25">
      <c r="A186" s="9" t="s">
        <v>30</v>
      </c>
      <c r="B186" s="9" t="s">
        <v>29</v>
      </c>
      <c r="C186" s="8">
        <v>97.9</v>
      </c>
      <c r="D186" s="7">
        <v>89</v>
      </c>
      <c r="E186" s="11">
        <f t="shared" si="6"/>
        <v>4.5056179775280959E-2</v>
      </c>
      <c r="F186" s="10">
        <v>93.01</v>
      </c>
      <c r="G186" s="4">
        <f>IFERROR(_xlfn.XLOOKUP(B186,'[1]Toda FM'!$A:$A,'[1]Toda FM'!$Q:$Q,""),"")</f>
        <v>0.1</v>
      </c>
      <c r="H186" s="3" t="str" cm="1">
        <f t="array" ref="H186">IFERROR(_xlfn.LET(_xlpm.rw,MATCH(B186,'[1]Toda FM'!$A:$A,0),_xlpm.vals,INDEX('[1]Toda FM'!$H:$M,_xlpm.rw,0),_xlpm.diffs,ABS(_xlpm.vals-F186),_xlpm.mn,MIN(_xlpm.diffs),_xlpm.pos,MATCH(_xlpm.mn,_xlpm.diffs,0),IF(_xlpm.mn/F186&lt;=0.02,TRIM(INDEX('[1]Toda FM'!$H$2:$M$2,1,_xlpm.pos)),"")),"")</f>
        <v>F6</v>
      </c>
      <c r="I186" s="3" t="str">
        <f>IFERROR(_xlfn.XLOOKUP(B186,'[1]Toda FM'!$A:$A,'[1]Toda FM'!$R:$R,""),"")</f>
        <v>LONG LIFE
FEB 2026</v>
      </c>
      <c r="J186" s="2"/>
    </row>
    <row r="187" spans="1:10" x14ac:dyDescent="0.25">
      <c r="A187" s="9" t="s">
        <v>28</v>
      </c>
      <c r="B187" s="9" t="s">
        <v>27</v>
      </c>
      <c r="C187" s="8">
        <v>76.45</v>
      </c>
      <c r="D187" s="7">
        <v>66.03</v>
      </c>
      <c r="E187" s="11">
        <f t="shared" si="6"/>
        <v>4.2102074814478287E-2</v>
      </c>
      <c r="F187" s="10">
        <v>68.81</v>
      </c>
      <c r="G187" s="4">
        <f>IFERROR(_xlfn.XLOOKUP(B187,'[1]Toda FM'!$A:$A,'[1]Toda FM'!$Q:$Q,""),"")</f>
        <v>0.1</v>
      </c>
      <c r="H187" s="3" t="str" cm="1">
        <f t="array" ref="H187">IFERROR(_xlfn.LET(_xlpm.rw,MATCH(B187,'[1]Toda FM'!$A:$A,0),_xlpm.vals,INDEX('[1]Toda FM'!$H:$M,_xlpm.rw,0),_xlpm.diffs,ABS(_xlpm.vals-F187),_xlpm.mn,MIN(_xlpm.diffs),_xlpm.pos,MATCH(_xlpm.mn,_xlpm.diffs,0),IF(_xlpm.mn/F187&lt;=0.02,TRIM(INDEX('[1]Toda FM'!$H$2:$M$2,1,_xlpm.pos)),"")),"")</f>
        <v>F8</v>
      </c>
      <c r="I187" s="3">
        <f>IFERROR(_xlfn.XLOOKUP(B187,'[1]Toda FM'!$A:$A,'[1]Toda FM'!$R:$R,""),"")</f>
        <v>0</v>
      </c>
      <c r="J187" s="2"/>
    </row>
    <row r="188" spans="1:10" x14ac:dyDescent="0.25">
      <c r="A188" s="9" t="s">
        <v>24</v>
      </c>
      <c r="B188" s="9" t="s">
        <v>26</v>
      </c>
      <c r="C188" s="8">
        <v>186.45</v>
      </c>
      <c r="D188" s="7">
        <v>161.03</v>
      </c>
      <c r="E188" s="11">
        <f t="shared" si="6"/>
        <v>9.9981369931068709E-2</v>
      </c>
      <c r="F188" s="10">
        <v>177.13</v>
      </c>
      <c r="G188" s="4">
        <f>IFERROR(_xlfn.XLOOKUP(B188,'[1]Toda FM'!$A:$A,'[1]Toda FM'!$Q:$Q,""),"")</f>
        <v>0.1</v>
      </c>
      <c r="H188" s="3" t="str" cm="1">
        <f t="array" ref="H188">IFERROR(_xlfn.LET(_xlpm.rw,MATCH(B188,'[1]Toda FM'!$A:$A,0),_xlpm.vals,INDEX('[1]Toda FM'!$H:$M,_xlpm.rw,0),_xlpm.diffs,ABS(_xlpm.vals-F188),_xlpm.mn,MIN(_xlpm.diffs),_xlpm.pos,MATCH(_xlpm.mn,_xlpm.diffs,0),IF(_xlpm.mn/F188&lt;=0.02,TRIM(INDEX('[1]Toda FM'!$H$2:$M$2,1,_xlpm.pos)),"")),"")</f>
        <v>F6</v>
      </c>
      <c r="I188" s="3">
        <f>IFERROR(_xlfn.XLOOKUP(B188,'[1]Toda FM'!$A:$A,'[1]Toda FM'!$R:$R,""),"")</f>
        <v>0</v>
      </c>
      <c r="J188" s="2"/>
    </row>
    <row r="189" spans="1:10" x14ac:dyDescent="0.25">
      <c r="A189" s="9" t="s">
        <v>24</v>
      </c>
      <c r="B189" s="9" t="s">
        <v>25</v>
      </c>
      <c r="C189" s="8">
        <v>141.9</v>
      </c>
      <c r="D189" s="7">
        <v>122.55</v>
      </c>
      <c r="E189" s="11">
        <f t="shared" si="6"/>
        <v>0.10004079967360266</v>
      </c>
      <c r="F189" s="10">
        <v>134.81</v>
      </c>
      <c r="G189" s="4">
        <f>IFERROR(_xlfn.XLOOKUP(B189,'[1]Toda FM'!$A:$A,'[1]Toda FM'!$Q:$Q,""),"")</f>
        <v>0.1</v>
      </c>
      <c r="H189" s="3" t="str" cm="1">
        <f t="array" ref="H189">IFERROR(_xlfn.LET(_xlpm.rw,MATCH(B189,'[1]Toda FM'!$A:$A,0),_xlpm.vals,INDEX('[1]Toda FM'!$H:$M,_xlpm.rw,0),_xlpm.diffs,ABS(_xlpm.vals-F189),_xlpm.mn,MIN(_xlpm.diffs),_xlpm.pos,MATCH(_xlpm.mn,_xlpm.diffs,0),IF(_xlpm.mn/F189&lt;=0.02,TRIM(INDEX('[1]Toda FM'!$H$2:$M$2,1,_xlpm.pos)),"")),"")</f>
        <v>F6</v>
      </c>
      <c r="I189" s="3">
        <f>IFERROR(_xlfn.XLOOKUP(B189,'[1]Toda FM'!$A:$A,'[1]Toda FM'!$R:$R,""),"")</f>
        <v>0</v>
      </c>
      <c r="J189" s="2"/>
    </row>
    <row r="190" spans="1:10" x14ac:dyDescent="0.25">
      <c r="A190" s="9" t="s">
        <v>24</v>
      </c>
      <c r="B190" s="9" t="s">
        <v>23</v>
      </c>
      <c r="C190" s="8">
        <v>174.9</v>
      </c>
      <c r="D190" s="7">
        <v>151.05000000000001</v>
      </c>
      <c r="E190" s="11">
        <f t="shared" si="6"/>
        <v>0.10003310162197937</v>
      </c>
      <c r="F190" s="10">
        <v>166.16</v>
      </c>
      <c r="G190" s="4">
        <f>IFERROR(_xlfn.XLOOKUP(B190,'[1]Toda FM'!$A:$A,'[1]Toda FM'!$Q:$Q,""),"")</f>
        <v>0.1</v>
      </c>
      <c r="H190" s="3" t="str" cm="1">
        <f t="array" ref="H190">IFERROR(_xlfn.LET(_xlpm.rw,MATCH(B190,'[1]Toda FM'!$A:$A,0),_xlpm.vals,INDEX('[1]Toda FM'!$H:$M,_xlpm.rw,0),_xlpm.diffs,ABS(_xlpm.vals-F190),_xlpm.mn,MIN(_xlpm.diffs),_xlpm.pos,MATCH(_xlpm.mn,_xlpm.diffs,0),IF(_xlpm.mn/F190&lt;=0.02,TRIM(INDEX('[1]Toda FM'!$H$2:$M$2,1,_xlpm.pos)),"")),"")</f>
        <v>F6</v>
      </c>
      <c r="I190" s="3" t="str">
        <f>IFERROR(_xlfn.XLOOKUP(B190,'[1]Toda FM'!$A:$A,'[1]Toda FM'!$R:$R,""),"")</f>
        <v>NOVATEX
FEB 2026</v>
      </c>
      <c r="J190" s="2"/>
    </row>
    <row r="191" spans="1:10" x14ac:dyDescent="0.25">
      <c r="A191" s="9" t="s">
        <v>22</v>
      </c>
      <c r="B191" s="9" t="s">
        <v>21</v>
      </c>
      <c r="C191" s="8">
        <v>141.31</v>
      </c>
      <c r="D191" s="7">
        <v>128.46</v>
      </c>
      <c r="E191" s="11">
        <f t="shared" si="6"/>
        <v>-9.9641911879184263E-3</v>
      </c>
      <c r="F191" s="10">
        <v>127.18</v>
      </c>
      <c r="G191" s="4">
        <f>IFERROR(_xlfn.XLOOKUP(B191,'[1]Toda FM'!$A:$A,'[1]Toda FM'!$Q:$Q,""),"")</f>
        <v>0.1</v>
      </c>
      <c r="H191" s="3" t="str" cm="1">
        <f t="array" ref="H191">IFERROR(_xlfn.LET(_xlpm.rw,MATCH(B191,'[1]Toda FM'!$A:$A,0),_xlpm.vals,INDEX('[1]Toda FM'!$H:$M,_xlpm.rw,0),_xlpm.diffs,ABS(_xlpm.vals-F191),_xlpm.mn,MIN(_xlpm.diffs),_xlpm.pos,MATCH(_xlpm.mn,_xlpm.diffs,0),IF(_xlpm.mn/F191&lt;=0.02,TRIM(INDEX('[1]Toda FM'!$H$2:$M$2,1,_xlpm.pos)),"")),"")</f>
        <v>F8</v>
      </c>
      <c r="I191" s="3">
        <f>IFERROR(_xlfn.XLOOKUP(B191,'[1]Toda FM'!$A:$A,'[1]Toda FM'!$R:$R,""),"")</f>
        <v>0</v>
      </c>
      <c r="J191" s="2"/>
    </row>
    <row r="192" spans="1:10" x14ac:dyDescent="0.25">
      <c r="A192" s="9" t="s">
        <v>19</v>
      </c>
      <c r="B192" s="9" t="s">
        <v>20</v>
      </c>
      <c r="C192" s="8">
        <v>72.98</v>
      </c>
      <c r="D192" s="7">
        <v>59.08</v>
      </c>
      <c r="E192" s="11">
        <f t="shared" si="6"/>
        <v>4.9932295192958748E-2</v>
      </c>
      <c r="F192" s="10">
        <v>62.03</v>
      </c>
      <c r="G192" s="4">
        <f>IFERROR(_xlfn.XLOOKUP(B192,'[1]Toda FM'!$A:$A,'[1]Toda FM'!$Q:$Q,""),"")</f>
        <v>0.05</v>
      </c>
      <c r="H192" s="3" t="str" cm="1">
        <f t="array" ref="H192">IFERROR(_xlfn.LET(_xlpm.rw,MATCH(B192,'[1]Toda FM'!$A:$A,0),_xlpm.vals,INDEX('[1]Toda FM'!$H:$M,_xlpm.rw,0),_xlpm.diffs,ABS(_xlpm.vals-F192),_xlpm.mn,MIN(_xlpm.diffs),_xlpm.pos,MATCH(_xlpm.mn,_xlpm.diffs,0),IF(_xlpm.mn/F192&lt;=0.02,TRIM(INDEX('[1]Toda FM'!$H$2:$M$2,1,_xlpm.pos)),"")),"")</f>
        <v>F10</v>
      </c>
      <c r="I192" s="3">
        <f>IFERROR(_xlfn.XLOOKUP(B192,'[1]Toda FM'!$A:$A,'[1]Toda FM'!$R:$R,""),"")</f>
        <v>0</v>
      </c>
      <c r="J192" s="2"/>
    </row>
    <row r="193" spans="1:11" x14ac:dyDescent="0.25">
      <c r="A193" s="9" t="s">
        <v>19</v>
      </c>
      <c r="B193" s="9" t="s">
        <v>18</v>
      </c>
      <c r="C193" s="8">
        <v>62.48</v>
      </c>
      <c r="D193" s="7">
        <v>49.6</v>
      </c>
      <c r="E193" s="11">
        <f t="shared" si="6"/>
        <v>7.0564516129032251E-2</v>
      </c>
      <c r="F193" s="10">
        <v>53.1</v>
      </c>
      <c r="G193" s="4">
        <f>IFERROR(_xlfn.XLOOKUP(B193,'[1]Toda FM'!$A:$A,'[1]Toda FM'!$Q:$Q,""),"")</f>
        <v>0.05</v>
      </c>
      <c r="H193" s="3" t="str" cm="1">
        <f t="array" ref="H193">IFERROR(_xlfn.LET(_xlpm.rw,MATCH(B193,'[1]Toda FM'!$A:$A,0),_xlpm.vals,INDEX('[1]Toda FM'!$H:$M,_xlpm.rw,0),_xlpm.diffs,ABS(_xlpm.vals-F193),_xlpm.mn,MIN(_xlpm.diffs),_xlpm.pos,MATCH(_xlpm.mn,_xlpm.diffs,0),IF(_xlpm.mn/F193&lt;=0.02,TRIM(INDEX('[1]Toda FM'!$H$2:$M$2,1,_xlpm.pos)),"")),"")</f>
        <v>F10</v>
      </c>
      <c r="I193" s="3">
        <f>IFERROR(_xlfn.XLOOKUP(B193,'[1]Toda FM'!$A:$A,'[1]Toda FM'!$R:$R,""),"")</f>
        <v>0</v>
      </c>
      <c r="J193" s="2"/>
    </row>
    <row r="194" spans="1:11" x14ac:dyDescent="0.25">
      <c r="A194" s="9" t="s">
        <v>17</v>
      </c>
      <c r="B194" s="9" t="s">
        <v>16</v>
      </c>
      <c r="C194" s="8">
        <v>108.9</v>
      </c>
      <c r="D194" s="7">
        <v>142.56</v>
      </c>
      <c r="E194" s="11">
        <f t="shared" si="6"/>
        <v>0.10002805836139163</v>
      </c>
      <c r="F194" s="10">
        <v>156.82</v>
      </c>
      <c r="G194" s="4">
        <f>IFERROR(_xlfn.XLOOKUP(B194,'[1]Toda FM'!$A:$A,'[1]Toda FM'!$Q:$Q,""),"")</f>
        <v>0.1</v>
      </c>
      <c r="H194" s="3" t="str" cm="1">
        <f t="array" ref="H194">IFERROR(_xlfn.LET(_xlpm.rw,MATCH(B194,'[1]Toda FM'!$A:$A,0),_xlpm.vals,INDEX('[1]Toda FM'!$H:$M,_xlpm.rw,0),_xlpm.diffs,ABS(_xlpm.vals-F194),_xlpm.mn,MIN(_xlpm.diffs),_xlpm.pos,MATCH(_xlpm.mn,_xlpm.diffs,0),IF(_xlpm.mn/F194&lt;=0.02,TRIM(INDEX('[1]Toda FM'!$H$2:$M$2,1,_xlpm.pos)),"")),"")</f>
        <v/>
      </c>
      <c r="I194" s="3">
        <f>IFERROR(_xlfn.XLOOKUP(B194,'[1]Toda FM'!$A:$A,'[1]Toda FM'!$R:$R,""),"")</f>
        <v>0</v>
      </c>
      <c r="J194" s="2" t="s">
        <v>15</v>
      </c>
    </row>
    <row r="195" spans="1:11" x14ac:dyDescent="0.25">
      <c r="A195" s="24" t="s">
        <v>14</v>
      </c>
      <c r="B195" s="24" t="s">
        <v>13</v>
      </c>
      <c r="C195" s="23">
        <v>196.9</v>
      </c>
      <c r="D195" s="22">
        <v>179</v>
      </c>
      <c r="E195" s="21">
        <f t="shared" si="6"/>
        <v>4.5027932960893864E-2</v>
      </c>
      <c r="F195" s="20">
        <v>187.06</v>
      </c>
      <c r="G195" s="4">
        <f>IFERROR(_xlfn.XLOOKUP(B195,'[1]Toda FM'!$A:$A,'[1]Toda FM'!$Q:$Q,""),"")</f>
        <v>0.1</v>
      </c>
      <c r="H195" s="3" t="str" cm="1">
        <f t="array" ref="H195">IFERROR(_xlfn.LET(_xlpm.rw,MATCH(B195,'[1]Toda FM'!$A:$A,0),_xlpm.vals,INDEX('[1]Toda FM'!$H:$M,_xlpm.rw,0),_xlpm.diffs,ABS(_xlpm.vals-F195),_xlpm.mn,MIN(_xlpm.diffs),_xlpm.pos,MATCH(_xlpm.mn,_xlpm.diffs,0),IF(_xlpm.mn/F195&lt;=0.02,TRIM(INDEX('[1]Toda FM'!$H$2:$M$2,1,_xlpm.pos)),"")),"")</f>
        <v>F6</v>
      </c>
      <c r="I195" s="3" t="str">
        <f>IFERROR(_xlfn.XLOOKUP(B195,'[1]Toda FM'!$A:$A,'[1]Toda FM'!$R:$R,""),"")</f>
        <v>LONG LIFE
FEB 2026</v>
      </c>
      <c r="J195" s="2"/>
    </row>
    <row r="196" spans="1:11" x14ac:dyDescent="0.25">
      <c r="A196" s="15" t="s">
        <v>12</v>
      </c>
      <c r="B196" s="15"/>
      <c r="C196" s="14"/>
      <c r="D196" s="14"/>
      <c r="E196" s="36"/>
      <c r="F196" s="14"/>
      <c r="G196" s="14"/>
      <c r="H196" s="13"/>
      <c r="I196" s="13">
        <f>IFERROR(_xlfn.XLOOKUP(B196,'[1]Toda FM'!$A:$A,'[1]Toda FM'!$R:$R,""),"")</f>
        <v>0</v>
      </c>
      <c r="J196" s="12" t="s">
        <v>11</v>
      </c>
      <c r="K196" s="1" t="s">
        <v>5</v>
      </c>
    </row>
    <row r="197" spans="1:11" x14ac:dyDescent="0.25">
      <c r="A197" s="15" t="s">
        <v>10</v>
      </c>
      <c r="B197" s="19"/>
      <c r="C197" s="18"/>
      <c r="D197" s="18"/>
      <c r="E197" s="37"/>
      <c r="F197" s="18"/>
      <c r="G197" s="18"/>
      <c r="H197" s="17"/>
      <c r="I197" s="17"/>
      <c r="J197" s="16" t="s">
        <v>9</v>
      </c>
      <c r="K197" s="1" t="s">
        <v>8</v>
      </c>
    </row>
    <row r="198" spans="1:11" x14ac:dyDescent="0.25">
      <c r="A198" s="15" t="s">
        <v>7</v>
      </c>
      <c r="B198" s="15"/>
      <c r="C198" s="14"/>
      <c r="D198" s="14"/>
      <c r="E198" s="36"/>
      <c r="F198" s="14"/>
      <c r="G198" s="14"/>
      <c r="H198" s="13"/>
      <c r="I198" s="13"/>
      <c r="J198" s="12" t="s">
        <v>6</v>
      </c>
      <c r="K198" s="1" t="s">
        <v>5</v>
      </c>
    </row>
    <row r="199" spans="1:11" x14ac:dyDescent="0.25">
      <c r="A199" s="9" t="s">
        <v>1</v>
      </c>
      <c r="B199" s="9" t="s">
        <v>4</v>
      </c>
      <c r="C199" s="8">
        <v>109.5</v>
      </c>
      <c r="D199" s="7">
        <v>93.08</v>
      </c>
      <c r="E199" s="11">
        <f>IFERROR((F199-D199)/D199,"")</f>
        <v>9.9914052428018874E-2</v>
      </c>
      <c r="F199" s="10">
        <v>102.38</v>
      </c>
      <c r="G199" s="4">
        <f>IFERROR(_xlfn.XLOOKUP(B199,'[1]Toda FM'!$A:$A,'[1]Toda FM'!$Q:$Q,""),"")</f>
        <v>0.1</v>
      </c>
      <c r="H199" s="3" t="str" cm="1">
        <f t="array" ref="H199">IFERROR(_xlfn.LET(_xlpm.rw,MATCH(B199,'[1]Toda FM'!$A:$A,0),_xlpm.vals,INDEX('[1]Toda FM'!$H:$M,_xlpm.rw,0),_xlpm.diffs,ABS(_xlpm.vals-F199),_xlpm.mn,MIN(_xlpm.diffs),_xlpm.pos,MATCH(_xlpm.mn,_xlpm.diffs,0),IF(_xlpm.mn/F199&lt;=0.02,TRIM(INDEX('[1]Toda FM'!$H$2:$M$2,1,_xlpm.pos)),"")),"")</f>
        <v>F10</v>
      </c>
      <c r="I199" s="3"/>
      <c r="J199" s="2"/>
    </row>
    <row r="200" spans="1:11" x14ac:dyDescent="0.25">
      <c r="A200" s="9" t="s">
        <v>1</v>
      </c>
      <c r="B200" s="9" t="s">
        <v>3</v>
      </c>
      <c r="C200" s="8">
        <v>74.5</v>
      </c>
      <c r="D200" s="7">
        <v>55.88</v>
      </c>
      <c r="E200" s="38">
        <f>IFERROR((F200-D200)/D200,"")</f>
        <v>6.6571224051538994E-2</v>
      </c>
      <c r="F200" s="39">
        <v>59.6</v>
      </c>
      <c r="G200" s="4">
        <f>IFERROR(_xlfn.XLOOKUP(B200,'[1]Toda FM'!$A:$A,'[1]Toda FM'!$Q:$Q,""),"")</f>
        <v>0</v>
      </c>
      <c r="H200" s="3"/>
      <c r="I200" s="3"/>
      <c r="J200" s="2"/>
    </row>
    <row r="201" spans="1:11" x14ac:dyDescent="0.25">
      <c r="A201" s="9" t="s">
        <v>1</v>
      </c>
      <c r="B201" s="9" t="s">
        <v>2</v>
      </c>
      <c r="C201" s="8">
        <v>74.5</v>
      </c>
      <c r="D201" s="7">
        <v>67.05</v>
      </c>
      <c r="E201" s="11">
        <f>IFERROR((F201-D201)/D201,"")</f>
        <v>5.0000000000000093E-2</v>
      </c>
      <c r="F201" s="10">
        <v>70.402500000000003</v>
      </c>
      <c r="G201" s="4">
        <f>IFERROR(_xlfn.XLOOKUP(B201,'[1]Toda FM'!$A:$A,'[1]Toda FM'!$Q:$Q,""),"")</f>
        <v>0.05</v>
      </c>
      <c r="H201" s="3" t="str" cm="1">
        <f t="array" ref="H201">IFERROR(_xlfn.LET(_xlpm.rw,MATCH(B201,'[1]Toda FM'!$A:$A,0),_xlpm.vals,INDEX('[1]Toda FM'!$H:$M,_xlpm.rw,0),_xlpm.diffs,ABS(_xlpm.vals-F201),_xlpm.mn,MIN(_xlpm.diffs),_xlpm.pos,MATCH(_xlpm.mn,_xlpm.diffs,0),IF(_xlpm.mn/F201&lt;=0.02,TRIM(INDEX('[1]Toda FM'!$H$2:$M$2,1,_xlpm.pos)),"")),"")</f>
        <v>F8</v>
      </c>
      <c r="I201" s="3"/>
      <c r="J201" s="2"/>
    </row>
    <row r="202" spans="1:11" x14ac:dyDescent="0.25">
      <c r="A202" s="9" t="s">
        <v>1</v>
      </c>
      <c r="B202" s="9" t="s">
        <v>0</v>
      </c>
      <c r="C202" s="8">
        <v>260</v>
      </c>
      <c r="D202" s="7">
        <v>179</v>
      </c>
      <c r="E202" s="38">
        <f>IFERROR((F202-D202)/D202,"")</f>
        <v>0.10000000000000003</v>
      </c>
      <c r="F202" s="39">
        <f>D202*1.1</f>
        <v>196.9</v>
      </c>
      <c r="G202" s="4">
        <f>IFERROR(_xlfn.XLOOKUP(B202,'[1]Toda FM'!$A:$A,'[1]Toda FM'!$Q:$Q,""),"")</f>
        <v>0</v>
      </c>
      <c r="H202" s="3" t="str" cm="1">
        <f t="array" ref="H202">IFERROR(_xlfn.LET(_xlpm.rw,MATCH(B202,'[1]Toda FM'!$A:$A,0),_xlpm.vals,INDEX('[1]Toda FM'!$H:$M,_xlpm.rw,0),_xlpm.diffs,ABS(_xlpm.vals-F202),_xlpm.mn,MIN(_xlpm.diffs),_xlpm.pos,MATCH(_xlpm.mn,_xlpm.diffs,0),IF(_xlpm.mn/F202&lt;=0.02,TRIM(INDEX('[1]Toda FM'!$H$2:$M$2,1,_xlpm.pos)),"")),"")</f>
        <v/>
      </c>
      <c r="I202" s="3"/>
      <c r="J202" s="2"/>
    </row>
    <row r="203" spans="1:11" x14ac:dyDescent="0.25">
      <c r="A203" s="9" t="s">
        <v>207</v>
      </c>
      <c r="B203" s="9" t="s">
        <v>43</v>
      </c>
      <c r="C203" s="8">
        <v>85.05</v>
      </c>
      <c r="D203" s="8">
        <v>68</v>
      </c>
      <c r="E203" s="11">
        <v>0</v>
      </c>
      <c r="F203" s="10">
        <v>68</v>
      </c>
      <c r="G203" s="4">
        <v>0</v>
      </c>
      <c r="H203" s="51" t="s">
        <v>208</v>
      </c>
      <c r="I203" s="3"/>
      <c r="J203" s="2"/>
    </row>
    <row r="204" spans="1:11" x14ac:dyDescent="0.25">
      <c r="A204" s="9" t="s">
        <v>207</v>
      </c>
      <c r="B204" s="9" t="s">
        <v>3</v>
      </c>
      <c r="C204" s="8">
        <v>74.5</v>
      </c>
      <c r="D204" s="8">
        <v>48.43</v>
      </c>
      <c r="E204" s="38">
        <v>0.05</v>
      </c>
      <c r="F204" s="39">
        <v>50.85</v>
      </c>
      <c r="G204" s="4"/>
      <c r="H204" s="51" t="s">
        <v>211</v>
      </c>
      <c r="I204" s="3"/>
      <c r="J204" s="2"/>
    </row>
    <row r="205" spans="1:11" x14ac:dyDescent="0.25">
      <c r="A205" s="9" t="s">
        <v>207</v>
      </c>
      <c r="B205" s="9" t="s">
        <v>94</v>
      </c>
      <c r="C205" s="8">
        <v>82.1</v>
      </c>
      <c r="D205" s="8">
        <v>68.790000000000006</v>
      </c>
      <c r="E205" s="11">
        <v>0.01</v>
      </c>
      <c r="F205" s="10">
        <v>69.790000000000006</v>
      </c>
      <c r="G205" s="4"/>
      <c r="H205" s="51" t="s">
        <v>208</v>
      </c>
      <c r="I205" s="3"/>
      <c r="J205" s="2"/>
    </row>
    <row r="206" spans="1:11" x14ac:dyDescent="0.25">
      <c r="A206" s="9" t="s">
        <v>207</v>
      </c>
      <c r="B206" s="9" t="s">
        <v>91</v>
      </c>
      <c r="C206" s="8">
        <v>69</v>
      </c>
      <c r="D206" s="8">
        <v>55.2</v>
      </c>
      <c r="E206" s="11">
        <v>0</v>
      </c>
      <c r="F206" s="10">
        <v>55.2</v>
      </c>
      <c r="G206" s="4"/>
      <c r="H206" s="51" t="s">
        <v>208</v>
      </c>
      <c r="I206" s="3"/>
      <c r="J206" s="2"/>
    </row>
    <row r="207" spans="1:11" x14ac:dyDescent="0.25">
      <c r="A207" s="9" t="s">
        <v>207</v>
      </c>
      <c r="B207" s="9" t="s">
        <v>93</v>
      </c>
      <c r="C207" s="8">
        <v>74.37</v>
      </c>
      <c r="D207" s="8">
        <v>55.2</v>
      </c>
      <c r="E207" s="38">
        <v>7.8E-2</v>
      </c>
      <c r="F207" s="39">
        <v>59.49</v>
      </c>
      <c r="G207" s="4"/>
      <c r="H207" s="51" t="s">
        <v>210</v>
      </c>
      <c r="I207" s="3"/>
      <c r="J207" s="2"/>
    </row>
    <row r="208" spans="1:11" x14ac:dyDescent="0.25">
      <c r="A208" s="9" t="s">
        <v>207</v>
      </c>
      <c r="B208" s="9" t="s">
        <v>2</v>
      </c>
      <c r="C208" s="8">
        <v>78.23</v>
      </c>
      <c r="D208" s="8">
        <v>59.6</v>
      </c>
      <c r="E208" s="38">
        <v>0.05</v>
      </c>
      <c r="F208" s="39">
        <v>62.58</v>
      </c>
      <c r="G208" s="4"/>
      <c r="H208" s="51" t="s">
        <v>208</v>
      </c>
      <c r="I208" s="3"/>
      <c r="J208" s="2"/>
    </row>
    <row r="209" spans="1:10" x14ac:dyDescent="0.25">
      <c r="A209" s="9" t="s">
        <v>207</v>
      </c>
      <c r="B209" s="9" t="s">
        <v>184</v>
      </c>
      <c r="C209" s="8">
        <v>115.56</v>
      </c>
      <c r="D209" s="8">
        <v>86</v>
      </c>
      <c r="E209" s="38">
        <v>7.4999999999999997E-2</v>
      </c>
      <c r="F209" s="39">
        <v>92.44</v>
      </c>
      <c r="G209" s="4"/>
      <c r="H209" s="51" t="s">
        <v>208</v>
      </c>
      <c r="I209" s="3"/>
      <c r="J209" s="2"/>
    </row>
    <row r="210" spans="1:10" x14ac:dyDescent="0.25">
      <c r="A210" s="9" t="s">
        <v>207</v>
      </c>
      <c r="B210" s="9" t="s">
        <v>183</v>
      </c>
      <c r="C210" s="8">
        <v>244.09</v>
      </c>
      <c r="D210" s="8">
        <v>195.27</v>
      </c>
      <c r="E210" s="11">
        <v>0</v>
      </c>
      <c r="F210" s="10">
        <v>195.27</v>
      </c>
      <c r="G210" s="4"/>
      <c r="H210" s="51" t="s">
        <v>208</v>
      </c>
      <c r="I210" s="3"/>
      <c r="J210" s="2"/>
    </row>
    <row r="211" spans="1:10" x14ac:dyDescent="0.25">
      <c r="A211" s="9" t="s">
        <v>207</v>
      </c>
      <c r="B211" s="9" t="s">
        <v>79</v>
      </c>
      <c r="C211" s="8">
        <v>236.45</v>
      </c>
      <c r="D211" s="8">
        <v>193.57</v>
      </c>
      <c r="E211" s="11">
        <v>3.8300000000000001E-2</v>
      </c>
      <c r="F211" s="10">
        <v>200.98</v>
      </c>
      <c r="G211" s="4"/>
      <c r="H211" s="51" t="s">
        <v>209</v>
      </c>
      <c r="I211" s="3"/>
      <c r="J211" s="2"/>
    </row>
    <row r="212" spans="1:10" x14ac:dyDescent="0.25">
      <c r="A212" s="9" t="s">
        <v>207</v>
      </c>
      <c r="B212" s="9" t="s">
        <v>182</v>
      </c>
      <c r="C212" s="8">
        <v>177.94</v>
      </c>
      <c r="D212" s="8">
        <v>151.25</v>
      </c>
      <c r="E212" s="11">
        <v>0</v>
      </c>
      <c r="F212" s="10">
        <v>151.25</v>
      </c>
      <c r="G212" s="4"/>
      <c r="H212" s="51" t="s">
        <v>209</v>
      </c>
      <c r="I212" s="3"/>
      <c r="J212" s="2"/>
    </row>
    <row r="213" spans="1:10" x14ac:dyDescent="0.25">
      <c r="A213" s="9" t="s">
        <v>207</v>
      </c>
      <c r="B213" s="9" t="s">
        <v>139</v>
      </c>
      <c r="C213" s="8">
        <v>193.79</v>
      </c>
      <c r="D213" s="8">
        <v>156.88</v>
      </c>
      <c r="E213" s="11">
        <v>0.05</v>
      </c>
      <c r="F213" s="10">
        <v>164.72</v>
      </c>
      <c r="G213" s="4"/>
      <c r="H213" s="51" t="s">
        <v>209</v>
      </c>
      <c r="I213" s="3"/>
      <c r="J213" s="2"/>
    </row>
    <row r="214" spans="1:10" x14ac:dyDescent="0.25">
      <c r="A214" s="9" t="s">
        <v>207</v>
      </c>
      <c r="B214" s="9" t="s">
        <v>198</v>
      </c>
      <c r="C214" s="8">
        <v>208.95</v>
      </c>
      <c r="D214" s="8">
        <v>159.19999999999999</v>
      </c>
      <c r="E214" s="11">
        <v>0.05</v>
      </c>
      <c r="F214" s="10">
        <v>167.16</v>
      </c>
      <c r="G214" s="4"/>
      <c r="H214" s="51" t="s">
        <v>208</v>
      </c>
      <c r="I214" s="3"/>
      <c r="J214" s="2"/>
    </row>
    <row r="215" spans="1:10" x14ac:dyDescent="0.25">
      <c r="A215" s="9" t="s">
        <v>207</v>
      </c>
      <c r="B215" s="9" t="s">
        <v>199</v>
      </c>
      <c r="C215" s="8">
        <v>166.01</v>
      </c>
      <c r="D215" s="8">
        <v>134.38</v>
      </c>
      <c r="E215" s="11">
        <v>0.05</v>
      </c>
      <c r="F215" s="10">
        <v>141.1</v>
      </c>
      <c r="G215" s="4"/>
      <c r="H215" s="51" t="s">
        <v>209</v>
      </c>
      <c r="I215" s="3"/>
      <c r="J215" s="2"/>
    </row>
    <row r="216" spans="1:10" x14ac:dyDescent="0.25">
      <c r="A216" s="9" t="s">
        <v>207</v>
      </c>
      <c r="B216" s="9" t="s">
        <v>200</v>
      </c>
      <c r="C216" s="8">
        <v>213.92</v>
      </c>
      <c r="D216" s="8">
        <v>162.97999999999999</v>
      </c>
      <c r="E216" s="11">
        <v>0.05</v>
      </c>
      <c r="F216" s="10">
        <v>171.12</v>
      </c>
      <c r="G216" s="4"/>
      <c r="H216" s="51" t="s">
        <v>208</v>
      </c>
      <c r="I216" s="3"/>
      <c r="J216" s="2"/>
    </row>
    <row r="217" spans="1:10" x14ac:dyDescent="0.25">
      <c r="A217" s="9" t="s">
        <v>207</v>
      </c>
      <c r="B217" s="9" t="s">
        <v>201</v>
      </c>
      <c r="C217" s="8">
        <v>264.06</v>
      </c>
      <c r="D217" s="8">
        <v>188.62</v>
      </c>
      <c r="E217" s="38">
        <v>0.05</v>
      </c>
      <c r="F217" s="39">
        <v>198.05</v>
      </c>
      <c r="G217" s="4"/>
      <c r="H217" s="51" t="s">
        <v>210</v>
      </c>
      <c r="I217" s="3"/>
      <c r="J217" s="2"/>
    </row>
    <row r="218" spans="1:10" x14ac:dyDescent="0.25">
      <c r="A218" s="9" t="s">
        <v>207</v>
      </c>
      <c r="B218" s="9" t="s">
        <v>202</v>
      </c>
      <c r="C218" s="8">
        <v>271.95</v>
      </c>
      <c r="D218" s="8">
        <v>194.25</v>
      </c>
      <c r="E218" s="38">
        <v>0.05</v>
      </c>
      <c r="F218" s="39">
        <v>203.96</v>
      </c>
      <c r="G218" s="4"/>
      <c r="H218" s="51" t="s">
        <v>210</v>
      </c>
      <c r="I218" s="3"/>
      <c r="J218" s="2"/>
    </row>
    <row r="219" spans="1:10" x14ac:dyDescent="0.25">
      <c r="A219" s="9" t="s">
        <v>207</v>
      </c>
      <c r="B219" s="9" t="s">
        <v>185</v>
      </c>
      <c r="C219" s="8">
        <v>299.5</v>
      </c>
      <c r="D219" s="8">
        <v>239.25</v>
      </c>
      <c r="E219" s="11">
        <v>1E-4</v>
      </c>
      <c r="F219" s="10">
        <v>239.6</v>
      </c>
      <c r="G219" s="4"/>
      <c r="H219" s="51" t="s">
        <v>208</v>
      </c>
      <c r="I219" s="3"/>
      <c r="J219" s="2"/>
    </row>
    <row r="220" spans="1:10" x14ac:dyDescent="0.25">
      <c r="A220" s="9" t="s">
        <v>207</v>
      </c>
      <c r="B220" s="9" t="s">
        <v>203</v>
      </c>
      <c r="C220" s="8">
        <v>399</v>
      </c>
      <c r="D220" s="8">
        <v>319.2</v>
      </c>
      <c r="E220" s="11">
        <v>0</v>
      </c>
      <c r="F220" s="10">
        <v>319.2</v>
      </c>
      <c r="G220" s="4"/>
      <c r="H220" s="51" t="s">
        <v>208</v>
      </c>
      <c r="I220" s="3"/>
      <c r="J220" s="2"/>
    </row>
    <row r="221" spans="1:10" x14ac:dyDescent="0.25">
      <c r="A221" s="9" t="s">
        <v>207</v>
      </c>
      <c r="B221" s="9" t="s">
        <v>204</v>
      </c>
      <c r="C221" s="8">
        <v>292.95</v>
      </c>
      <c r="D221" s="8">
        <v>223.2</v>
      </c>
      <c r="E221" s="11">
        <v>0.05</v>
      </c>
      <c r="F221" s="10">
        <v>234.36</v>
      </c>
      <c r="G221" s="4"/>
      <c r="H221" s="51" t="s">
        <v>208</v>
      </c>
      <c r="I221" s="3"/>
      <c r="J221" s="2"/>
    </row>
    <row r="222" spans="1:10" x14ac:dyDescent="0.25">
      <c r="A222" s="9" t="s">
        <v>207</v>
      </c>
      <c r="B222" s="9" t="s">
        <v>205</v>
      </c>
      <c r="C222" s="8">
        <v>69</v>
      </c>
      <c r="D222" s="8">
        <v>48.3</v>
      </c>
      <c r="E222" s="38">
        <v>7.1999999999999995E-2</v>
      </c>
      <c r="F222" s="39">
        <v>51.75</v>
      </c>
      <c r="G222" s="4"/>
      <c r="H222" s="51" t="s">
        <v>210</v>
      </c>
      <c r="I222" s="3"/>
      <c r="J222" s="2"/>
    </row>
    <row r="223" spans="1:10" x14ac:dyDescent="0.25">
      <c r="A223" s="9" t="s">
        <v>207</v>
      </c>
      <c r="B223" s="9" t="s">
        <v>20</v>
      </c>
      <c r="C223" s="8">
        <v>72.98</v>
      </c>
      <c r="D223" s="8">
        <v>55.6</v>
      </c>
      <c r="E223" s="11">
        <v>0.05</v>
      </c>
      <c r="F223" s="10">
        <v>58.38</v>
      </c>
      <c r="G223" s="4"/>
      <c r="H223" s="51" t="s">
        <v>208</v>
      </c>
      <c r="I223" s="3"/>
      <c r="J223" s="2"/>
    </row>
    <row r="224" spans="1:10" x14ac:dyDescent="0.25">
      <c r="A224" s="9" t="s">
        <v>207</v>
      </c>
      <c r="B224" s="9" t="s">
        <v>18</v>
      </c>
      <c r="C224" s="8">
        <v>62.48</v>
      </c>
      <c r="D224" s="8">
        <v>44.63</v>
      </c>
      <c r="E224" s="38">
        <v>0.05</v>
      </c>
      <c r="F224" s="39">
        <v>46.86</v>
      </c>
      <c r="G224" s="4"/>
      <c r="H224" s="51" t="s">
        <v>210</v>
      </c>
      <c r="I224" s="3"/>
      <c r="J224" s="2"/>
    </row>
    <row r="225" spans="1:10" x14ac:dyDescent="0.25">
      <c r="A225" s="9" t="s">
        <v>207</v>
      </c>
      <c r="B225" s="9" t="s">
        <v>42</v>
      </c>
      <c r="C225" s="8">
        <v>84.5</v>
      </c>
      <c r="D225" s="8">
        <v>54.93</v>
      </c>
      <c r="E225" s="38">
        <v>0</v>
      </c>
      <c r="F225" s="39">
        <v>54.93</v>
      </c>
      <c r="G225" s="4"/>
      <c r="H225" s="3"/>
      <c r="I225" s="3"/>
      <c r="J225" s="2"/>
    </row>
    <row r="226" spans="1:10" x14ac:dyDescent="0.25">
      <c r="A226" s="9" t="s">
        <v>207</v>
      </c>
      <c r="B226" s="9" t="s">
        <v>92</v>
      </c>
      <c r="C226" s="8">
        <v>93.3</v>
      </c>
      <c r="D226" s="8">
        <v>74.64</v>
      </c>
      <c r="E226" s="11">
        <v>0</v>
      </c>
      <c r="F226" s="10">
        <v>74.64</v>
      </c>
      <c r="G226" s="4"/>
      <c r="H226" s="51" t="s">
        <v>208</v>
      </c>
      <c r="I226" s="3"/>
      <c r="J226" s="2"/>
    </row>
    <row r="227" spans="1:10" x14ac:dyDescent="0.25">
      <c r="A227" s="9" t="s">
        <v>207</v>
      </c>
      <c r="B227" s="9" t="s">
        <v>206</v>
      </c>
      <c r="C227" s="8">
        <v>92.4</v>
      </c>
      <c r="D227" s="8">
        <v>67.05</v>
      </c>
      <c r="E227" s="38">
        <v>2.2499999999999999E-2</v>
      </c>
      <c r="F227" s="39">
        <v>69.3</v>
      </c>
      <c r="G227" s="4"/>
      <c r="H227" s="51" t="s">
        <v>210</v>
      </c>
      <c r="I227" s="3"/>
      <c r="J227" s="2"/>
    </row>
    <row r="228" spans="1:10" x14ac:dyDescent="0.25">
      <c r="A228" s="9" t="s">
        <v>207</v>
      </c>
      <c r="B228" s="9" t="s">
        <v>212</v>
      </c>
      <c r="C228" s="8"/>
      <c r="D228" s="8"/>
      <c r="E228" s="8"/>
      <c r="F228" s="39">
        <v>105.02</v>
      </c>
      <c r="G228" s="4"/>
      <c r="H228" s="51" t="s">
        <v>213</v>
      </c>
      <c r="I228" s="3"/>
      <c r="J228" s="2"/>
    </row>
  </sheetData>
  <autoFilter ref="A2:I227" xr:uid="{0B36F77E-75A6-491D-B5B0-91C0EDBB02D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E7EA8-0253-4C81-AB8A-15CFA5CDE618}">
  <sheetPr>
    <pageSetUpPr fitToPage="1"/>
  </sheetPr>
  <dimension ref="A2:J23"/>
  <sheetViews>
    <sheetView workbookViewId="0">
      <pane ySplit="3" topLeftCell="A4" activePane="bottomLeft" state="frozen"/>
      <selection pane="bottomLeft" activeCell="B26" sqref="B26"/>
    </sheetView>
  </sheetViews>
  <sheetFormatPr baseColWidth="10" defaultRowHeight="15" x14ac:dyDescent="0.25"/>
  <cols>
    <col min="1" max="1" width="16.42578125" customWidth="1"/>
    <col min="2" max="2" width="22.7109375" style="2" customWidth="1"/>
    <col min="3" max="3" width="19.5703125" style="43" customWidth="1"/>
    <col min="4" max="4" width="14.140625" style="43" customWidth="1"/>
    <col min="5" max="5" width="19.5703125" customWidth="1"/>
    <col min="6" max="6" width="46.85546875" style="42" customWidth="1"/>
    <col min="7" max="7" width="53" bestFit="1" customWidth="1"/>
    <col min="8" max="8" width="26" customWidth="1"/>
    <col min="9" max="9" width="32" bestFit="1" customWidth="1"/>
  </cols>
  <sheetData>
    <row r="2" spans="1:10" x14ac:dyDescent="0.25">
      <c r="A2" s="52" t="s">
        <v>178</v>
      </c>
      <c r="B2" s="52"/>
      <c r="C2" s="52"/>
      <c r="D2" s="50"/>
      <c r="E2" s="49"/>
      <c r="G2" t="s">
        <v>197</v>
      </c>
    </row>
    <row r="3" spans="1:10" s="47" customFormat="1" ht="27" x14ac:dyDescent="0.25">
      <c r="A3" s="31" t="s">
        <v>196</v>
      </c>
      <c r="B3" s="29" t="s">
        <v>175</v>
      </c>
      <c r="C3" s="29" t="s">
        <v>195</v>
      </c>
      <c r="D3" s="29" t="s">
        <v>172</v>
      </c>
      <c r="E3" s="30" t="s">
        <v>171</v>
      </c>
      <c r="F3" s="48"/>
    </row>
    <row r="4" spans="1:10" x14ac:dyDescent="0.25">
      <c r="A4" s="44" t="s">
        <v>191</v>
      </c>
      <c r="B4" s="9" t="s">
        <v>194</v>
      </c>
      <c r="C4" s="40">
        <v>163.80000000000001</v>
      </c>
      <c r="D4" s="4">
        <v>0</v>
      </c>
      <c r="E4" s="40">
        <f t="shared" ref="E4:E23" si="0">C4+(C4*D4)</f>
        <v>163.80000000000001</v>
      </c>
      <c r="F4" s="45"/>
    </row>
    <row r="5" spans="1:10" x14ac:dyDescent="0.25">
      <c r="A5" s="44" t="s">
        <v>191</v>
      </c>
      <c r="B5" s="9" t="s">
        <v>193</v>
      </c>
      <c r="C5" s="40">
        <v>139</v>
      </c>
      <c r="D5" s="4">
        <v>0</v>
      </c>
      <c r="E5" s="40">
        <f t="shared" si="0"/>
        <v>139</v>
      </c>
      <c r="F5" s="45" t="s">
        <v>186</v>
      </c>
    </row>
    <row r="6" spans="1:10" x14ac:dyDescent="0.25">
      <c r="A6" s="44" t="s">
        <v>191</v>
      </c>
      <c r="B6" s="9" t="s">
        <v>192</v>
      </c>
      <c r="C6" s="40">
        <v>143.32</v>
      </c>
      <c r="D6" s="41">
        <v>0</v>
      </c>
      <c r="E6" s="40">
        <f t="shared" si="0"/>
        <v>143.32</v>
      </c>
      <c r="F6" s="45"/>
    </row>
    <row r="7" spans="1:10" x14ac:dyDescent="0.25">
      <c r="A7" s="44" t="s">
        <v>191</v>
      </c>
      <c r="B7" s="9" t="s">
        <v>190</v>
      </c>
      <c r="C7" s="40">
        <v>154.69999999999999</v>
      </c>
      <c r="D7" s="41">
        <v>0</v>
      </c>
      <c r="E7" s="40">
        <f t="shared" si="0"/>
        <v>154.69999999999999</v>
      </c>
      <c r="F7" s="45"/>
    </row>
    <row r="8" spans="1:10" x14ac:dyDescent="0.25">
      <c r="A8" s="44" t="s">
        <v>179</v>
      </c>
      <c r="B8" s="9" t="s">
        <v>82</v>
      </c>
      <c r="C8" s="40">
        <f>IFERROR(_xlfn.XLOOKUP(B8,'[2]Toda FM'!$A:$A,'[2]Toda FM'!$H:$H,""),"")</f>
        <v>74</v>
      </c>
      <c r="D8" s="4">
        <v>0</v>
      </c>
      <c r="E8" s="40">
        <f t="shared" si="0"/>
        <v>74</v>
      </c>
      <c r="F8" s="45"/>
    </row>
    <row r="9" spans="1:10" x14ac:dyDescent="0.25">
      <c r="A9" s="44" t="s">
        <v>179</v>
      </c>
      <c r="B9" s="9" t="s">
        <v>92</v>
      </c>
      <c r="C9" s="40">
        <f>IFERROR(_xlfn.XLOOKUP(B9,'[2]Toda FM'!$A:$A,'[2]Toda FM'!$H:$H,""),"")</f>
        <v>93.3</v>
      </c>
      <c r="D9" s="4">
        <v>0</v>
      </c>
      <c r="E9" s="40">
        <f t="shared" si="0"/>
        <v>93.3</v>
      </c>
      <c r="F9" s="45"/>
    </row>
    <row r="10" spans="1:10" x14ac:dyDescent="0.25">
      <c r="A10" s="44" t="s">
        <v>179</v>
      </c>
      <c r="B10" s="9" t="s">
        <v>189</v>
      </c>
      <c r="C10" s="40">
        <f>IFERROR(_xlfn.XLOOKUP(B10,'[2]Toda FM'!$A:$A,'[2]Toda FM'!$H:$H,""),"")</f>
        <v>159</v>
      </c>
      <c r="D10" s="4">
        <v>0.05</v>
      </c>
      <c r="E10" s="40">
        <f t="shared" si="0"/>
        <v>166.95</v>
      </c>
      <c r="F10" s="45"/>
      <c r="I10" s="2"/>
      <c r="J10" s="46"/>
    </row>
    <row r="11" spans="1:10" x14ac:dyDescent="0.25">
      <c r="A11" s="44" t="s">
        <v>179</v>
      </c>
      <c r="B11" s="9" t="s">
        <v>84</v>
      </c>
      <c r="C11" s="40">
        <f>IFERROR(_xlfn.XLOOKUP(B11,'[2]Toda FM'!$A:$A,'[2]Toda FM'!$H:$H,""),"")</f>
        <v>199</v>
      </c>
      <c r="D11" s="4">
        <v>0</v>
      </c>
      <c r="E11" s="40">
        <f t="shared" si="0"/>
        <v>199</v>
      </c>
      <c r="F11" s="45" t="s">
        <v>188</v>
      </c>
      <c r="I11" s="2"/>
      <c r="J11" s="46"/>
    </row>
    <row r="12" spans="1:10" x14ac:dyDescent="0.25">
      <c r="A12" s="44" t="s">
        <v>179</v>
      </c>
      <c r="B12" s="9" t="s">
        <v>187</v>
      </c>
      <c r="C12" s="40">
        <f>IFERROR(_xlfn.XLOOKUP(B12,'[2]Toda FM'!$A:$A,'[2]Toda FM'!$H:$H,""),"")</f>
        <v>104.5</v>
      </c>
      <c r="D12" s="4">
        <v>0</v>
      </c>
      <c r="E12" s="40">
        <f t="shared" si="0"/>
        <v>104.5</v>
      </c>
      <c r="F12" s="42" t="s">
        <v>186</v>
      </c>
      <c r="I12" s="2"/>
      <c r="J12" s="46"/>
    </row>
    <row r="13" spans="1:10" x14ac:dyDescent="0.25">
      <c r="A13" s="44" t="s">
        <v>179</v>
      </c>
      <c r="B13" s="9" t="s">
        <v>185</v>
      </c>
      <c r="C13" s="40">
        <f>IFERROR(_xlfn.XLOOKUP(B13,'[2]Toda FM'!$A:$A,'[2]Toda FM'!$H:$H,""),"")</f>
        <v>299.5</v>
      </c>
      <c r="D13" s="41">
        <v>0</v>
      </c>
      <c r="E13" s="40">
        <f t="shared" si="0"/>
        <v>299.5</v>
      </c>
      <c r="I13" s="2"/>
      <c r="J13" s="46"/>
    </row>
    <row r="14" spans="1:10" x14ac:dyDescent="0.25">
      <c r="A14" s="44" t="s">
        <v>179</v>
      </c>
      <c r="B14" s="9" t="s">
        <v>158</v>
      </c>
      <c r="C14" s="40">
        <f>IFERROR(_xlfn.XLOOKUP(B14,'[2]Toda FM'!$A:$A,'[2]Toda FM'!$H:$H,""),"")</f>
        <v>159</v>
      </c>
      <c r="D14" s="41">
        <v>0</v>
      </c>
      <c r="E14" s="40">
        <f t="shared" si="0"/>
        <v>159</v>
      </c>
      <c r="I14" s="2"/>
      <c r="J14" s="46"/>
    </row>
    <row r="15" spans="1:10" x14ac:dyDescent="0.25">
      <c r="A15" s="44" t="s">
        <v>179</v>
      </c>
      <c r="B15" s="9" t="s">
        <v>184</v>
      </c>
      <c r="C15" s="40">
        <f>IFERROR(_xlfn.XLOOKUP(B15,'[2]Toda FM'!$A:$A,'[2]Toda FM'!$H:$H,""),"")</f>
        <v>115.56</v>
      </c>
      <c r="D15" s="41">
        <v>0</v>
      </c>
      <c r="E15" s="40">
        <f t="shared" si="0"/>
        <v>115.56</v>
      </c>
    </row>
    <row r="16" spans="1:10" x14ac:dyDescent="0.25">
      <c r="A16" s="44" t="s">
        <v>179</v>
      </c>
      <c r="B16" s="9" t="s">
        <v>43</v>
      </c>
      <c r="C16" s="40">
        <f>IFERROR(_xlfn.XLOOKUP(B16,'[2]Toda FM'!$A:$A,'[2]Toda FM'!$H:$H,""),"")</f>
        <v>85.05</v>
      </c>
      <c r="D16" s="41">
        <v>0</v>
      </c>
      <c r="E16" s="40">
        <f t="shared" si="0"/>
        <v>85.05</v>
      </c>
    </row>
    <row r="17" spans="1:6" x14ac:dyDescent="0.25">
      <c r="A17" s="44" t="s">
        <v>179</v>
      </c>
      <c r="B17" s="9" t="s">
        <v>183</v>
      </c>
      <c r="C17" s="40">
        <f>IFERROR(_xlfn.XLOOKUP(B17,'[2]Toda FM'!$A:$A,'[2]Toda FM'!$H:$H,""),"")</f>
        <v>244.09</v>
      </c>
      <c r="D17" s="41">
        <v>0</v>
      </c>
      <c r="E17" s="40">
        <f t="shared" si="0"/>
        <v>244.09</v>
      </c>
    </row>
    <row r="18" spans="1:6" x14ac:dyDescent="0.25">
      <c r="A18" s="44" t="s">
        <v>179</v>
      </c>
      <c r="B18" s="9" t="s">
        <v>182</v>
      </c>
      <c r="C18" s="40">
        <f>IFERROR(_xlfn.XLOOKUP(B18,'[2]Toda FM'!$A:$A,'[2]Toda FM'!$H:$H,""),"")</f>
        <v>177.94</v>
      </c>
      <c r="D18" s="41">
        <v>0</v>
      </c>
      <c r="E18" s="40">
        <f t="shared" si="0"/>
        <v>177.94</v>
      </c>
    </row>
    <row r="19" spans="1:6" x14ac:dyDescent="0.25">
      <c r="A19" s="44" t="s">
        <v>179</v>
      </c>
      <c r="B19" s="9" t="s">
        <v>181</v>
      </c>
      <c r="C19" s="40">
        <f>IFERROR(_xlfn.XLOOKUP(B19,'[2]Toda FM'!$A:$A,'[2]Toda FM'!$H:$H,""),"")</f>
        <v>279</v>
      </c>
      <c r="D19" s="41">
        <v>0</v>
      </c>
      <c r="E19" s="40">
        <f t="shared" si="0"/>
        <v>279</v>
      </c>
      <c r="F19" s="45"/>
    </row>
    <row r="20" spans="1:6" x14ac:dyDescent="0.25">
      <c r="A20" s="44" t="s">
        <v>179</v>
      </c>
      <c r="B20" s="9" t="s">
        <v>91</v>
      </c>
      <c r="C20" s="40">
        <f>IFERROR(_xlfn.XLOOKUP(B20,'[2]Toda FM'!$A:$A,'[2]Toda FM'!$H:$H,""),"")</f>
        <v>69</v>
      </c>
      <c r="D20" s="41">
        <v>0</v>
      </c>
      <c r="E20" s="40">
        <f t="shared" si="0"/>
        <v>69</v>
      </c>
    </row>
    <row r="21" spans="1:6" x14ac:dyDescent="0.25">
      <c r="A21" s="44" t="s">
        <v>179</v>
      </c>
      <c r="B21" s="9" t="s">
        <v>157</v>
      </c>
      <c r="C21" s="40">
        <f>IFERROR(_xlfn.XLOOKUP(B21,'[2]Toda FM'!$A:$A,'[2]Toda FM'!$H:$H,""),"")</f>
        <v>139</v>
      </c>
      <c r="D21" s="41">
        <v>0</v>
      </c>
      <c r="E21" s="40">
        <f t="shared" si="0"/>
        <v>139</v>
      </c>
    </row>
    <row r="22" spans="1:6" x14ac:dyDescent="0.25">
      <c r="A22" s="44" t="s">
        <v>179</v>
      </c>
      <c r="B22" s="9" t="s">
        <v>180</v>
      </c>
      <c r="C22" s="40">
        <f>IFERROR(_xlfn.XLOOKUP(B22,'[2]Toda FM'!$A:$A,'[2]Toda FM'!$H:$H,""),"")</f>
        <v>104</v>
      </c>
      <c r="D22" s="41">
        <v>0.05</v>
      </c>
      <c r="E22" s="40">
        <f t="shared" si="0"/>
        <v>109.2</v>
      </c>
      <c r="F22" s="45"/>
    </row>
    <row r="23" spans="1:6" x14ac:dyDescent="0.25">
      <c r="A23" s="44" t="s">
        <v>179</v>
      </c>
      <c r="B23" s="9" t="s">
        <v>150</v>
      </c>
      <c r="C23" s="40">
        <f>IFERROR(_xlfn.XLOOKUP(B23,'[2]Toda FM'!$A:$A,'[2]Toda FM'!$H:$H,""),"")</f>
        <v>109</v>
      </c>
      <c r="D23" s="41">
        <v>0.05</v>
      </c>
      <c r="E23" s="40">
        <f t="shared" si="0"/>
        <v>114.45</v>
      </c>
    </row>
  </sheetData>
  <autoFilter ref="A3:E3" xr:uid="{0D9DB949-3498-40ED-9A8A-DE8FAADD79B6}">
    <sortState xmlns:xlrd2="http://schemas.microsoft.com/office/spreadsheetml/2017/richdata2" ref="A4:E34">
      <sortCondition descending="1" ref="A3"/>
    </sortState>
  </autoFilter>
  <mergeCells count="1">
    <mergeCell ref="A2:C2"/>
  </mergeCells>
  <pageMargins left="0.70866141732283472" right="0.70866141732283472" top="0.74803149606299213" bottom="0.74803149606299213" header="0.31496062992125984" footer="0.31496062992125984"/>
  <pageSetup paperSize="9" scale="68" fitToHeight="0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PRECIOS ESP</vt:lpstr>
      <vt:lpstr>PLACENCIA</vt:lpstr>
      <vt:lpstr>PLACENCIA!Títulos_a_imprimir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Ramirez Gomez</dc:creator>
  <cp:lastModifiedBy>Andrea Ramirez Gomez</cp:lastModifiedBy>
  <dcterms:created xsi:type="dcterms:W3CDTF">2026-05-28T18:54:44Z</dcterms:created>
  <dcterms:modified xsi:type="dcterms:W3CDTF">2026-10-15T22:36:23Z</dcterms:modified>
</cp:coreProperties>
</file>