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esktop\"/>
    </mc:Choice>
  </mc:AlternateContent>
  <xr:revisionPtr revIDLastSave="0" documentId="13_ncr:1_{2B6F85C4-8B55-42DE-BE9A-2FEA023128B9}" xr6:coauthVersionLast="47" xr6:coauthVersionMax="47" xr10:uidLastSave="{00000000-0000-0000-0000-000000000000}"/>
  <bookViews>
    <workbookView xWindow="-120" yWindow="-120" windowWidth="24240" windowHeight="13140" xr2:uid="{F4D0207B-6115-4578-8944-E581BD6BC3D4}"/>
  </bookViews>
  <sheets>
    <sheet name="COSTO POR EMBARQUE" sheetId="1" r:id="rId1"/>
    <sheet name="COSTO POR MET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2" l="1"/>
  <c r="F4" i="2" l="1"/>
  <c r="D4" i="2"/>
  <c r="K3" i="2"/>
  <c r="M3" i="2" s="1"/>
  <c r="I3" i="2"/>
  <c r="I4" i="2" s="1"/>
  <c r="H2" i="1"/>
  <c r="Y2" i="1"/>
  <c r="T2" i="1"/>
  <c r="R2" i="1"/>
  <c r="Z2" i="1"/>
  <c r="L2" i="1"/>
  <c r="J2" i="1"/>
  <c r="I2" i="1"/>
  <c r="W2" i="1"/>
  <c r="O3" i="2" l="1"/>
  <c r="N3" i="2"/>
  <c r="K2" i="1"/>
  <c r="M2" i="1"/>
  <c r="AA2" i="1"/>
  <c r="S2" i="1"/>
  <c r="U2" i="1"/>
  <c r="O2" i="1"/>
  <c r="Q2" i="1"/>
  <c r="P3" i="2" l="1"/>
  <c r="XFD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sonia salazar</author>
  </authors>
  <commentList>
    <comment ref="H1" authorId="0" shapeId="0" xr:uid="{B4A54DC5-0BC0-46FA-ACAE-0DEC8649DD78}">
      <text>
        <r>
          <rPr>
            <sz val="9"/>
            <color indexed="81"/>
            <rFont val="Tahoma"/>
            <family val="2"/>
          </rPr>
          <t xml:space="preserve">Suma de todas la facturas comerciales * tipo de cambio
</t>
        </r>
      </text>
    </comment>
    <comment ref="J1" authorId="0" shapeId="0" xr:uid="{C240CB22-2EF6-4EAE-A9D7-9C392E77D3D4}">
      <text>
        <r>
          <rPr>
            <sz val="9"/>
            <color indexed="81"/>
            <rFont val="Tahoma"/>
            <family val="2"/>
          </rPr>
          <t xml:space="preserve">Flete en origen
</t>
        </r>
      </text>
    </comment>
    <comment ref="P1" authorId="0" shapeId="0" xr:uid="{71D23C8E-861B-47A8-B69B-728EAEC35D62}">
      <text>
        <r>
          <rPr>
            <sz val="9"/>
            <color indexed="81"/>
            <rFont val="Tahoma"/>
            <family val="2"/>
          </rPr>
          <t xml:space="preserve">
IGI
</t>
        </r>
      </text>
    </comment>
    <comment ref="R1" authorId="0" shapeId="0" xr:uid="{3C50B01C-F582-4F21-980B-2A44F9EE06F7}">
      <text>
        <r>
          <rPr>
            <sz val="9"/>
            <color indexed="81"/>
            <rFont val="Tahoma"/>
            <family val="2"/>
          </rPr>
          <t xml:space="preserve">
PRV+DTA</t>
        </r>
      </text>
    </comment>
    <comment ref="T1" authorId="0" shapeId="0" xr:uid="{6BCFBFD2-8B06-4782-AFCF-87A73E7D721D}">
      <text>
        <r>
          <rPr>
            <sz val="9"/>
            <color indexed="81"/>
            <rFont val="Tahoma"/>
            <family val="2"/>
          </rPr>
          <t>Total de gastos en puerto , maniobras, manejo,muellajes, etc</t>
        </r>
      </text>
    </comment>
    <comment ref="X1" authorId="0" shapeId="0" xr:uid="{1AA9438D-931F-4EDC-BC31-2BAD3EC73B30}">
      <text>
        <r>
          <rPr>
            <b/>
            <sz val="9"/>
            <color indexed="81"/>
            <rFont val="Tahoma"/>
            <family val="2"/>
          </rPr>
          <t>Flete Local o en destino</t>
        </r>
      </text>
    </comment>
  </commentList>
</comments>
</file>

<file path=xl/sharedStrings.xml><?xml version="1.0" encoding="utf-8"?>
<sst xmlns="http://schemas.openxmlformats.org/spreadsheetml/2006/main" count="48" uniqueCount="39">
  <si>
    <t>FECHA PEDIMENTO</t>
  </si>
  <si>
    <t>PEDIMENTO</t>
  </si>
  <si>
    <t>FACTURAS</t>
  </si>
  <si>
    <t>Total</t>
  </si>
  <si>
    <t>26 16 1924 6003524</t>
  </si>
  <si>
    <t>Cont 40</t>
  </si>
  <si>
    <t>40 HC</t>
  </si>
  <si>
    <t>TIPO DE CARGA</t>
  </si>
  <si>
    <t>METROS CUBICOS</t>
  </si>
  <si>
    <t>TIPO DE CAMBIO</t>
  </si>
  <si>
    <t>IMPORTE DE FACTURA</t>
  </si>
  <si>
    <t>SH2026M0782 / FX20261506</t>
  </si>
  <si>
    <t>METROS</t>
  </si>
  <si>
    <t>IMPORTE DE FLETE INTERNACIONAL</t>
  </si>
  <si>
    <t>% VS VALOR FACTURA</t>
  </si>
  <si>
    <t>IMPORTE DE SEGURO DE CARGA</t>
  </si>
  <si>
    <t>GASTOS ADICIONALES</t>
  </si>
  <si>
    <t>IMPUESTO GENERAL DE IMPORTACION</t>
  </si>
  <si>
    <t>OTROS IMPUESTOS</t>
  </si>
  <si>
    <t>GASTOS EN PUERTO</t>
  </si>
  <si>
    <t>PORCENTAJE TOTAL DE COSTO DEL EMBARQUE</t>
  </si>
  <si>
    <t>HONORARIOS AGENCIA ADUANAL</t>
  </si>
  <si>
    <t>FLETE NACIONAL</t>
  </si>
  <si>
    <t>Costo Pesos</t>
  </si>
  <si>
    <t>Gastos</t>
  </si>
  <si>
    <t>costo TT</t>
  </si>
  <si>
    <t>Total TT</t>
  </si>
  <si>
    <t>Costo FM</t>
  </si>
  <si>
    <t>Total FM</t>
  </si>
  <si>
    <t>SANTI BONE</t>
  </si>
  <si>
    <t>ROLLS</t>
  </si>
  <si>
    <t>MTS</t>
  </si>
  <si>
    <t>UNIT</t>
    <phoneticPr fontId="0" type="noConversion"/>
  </si>
  <si>
    <t/>
  </si>
  <si>
    <t xml:space="preserve"> </t>
  </si>
  <si>
    <t>TELA</t>
  </si>
  <si>
    <t>CANTIDAD</t>
  </si>
  <si>
    <t>COSTO USD</t>
  </si>
  <si>
    <t>TOTAL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</si>
</sst>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164" formatCode="&quot;US$&quot;#,##0.00_);[Red]\(&quot;US$&quot;#,##0.00\)"/>
    <numFmt numFmtId="165" formatCode="&quot;$&quot;#,##0.00"/>
    <numFmt numFmtId="166" formatCode="\$#,##0.00;\-\$#,##0.00"/>
    <numFmt numFmtId="167" formatCode="&quot;$&quot;#,##0.0000"/>
    <numFmt numFmtId="168" formatCode="\$#,##0.0000;\-\$#,##0.0000"/>
    <numFmt numFmtId="169" formatCode="\$#,##0.00_);[Red]\(\$#,##0.00\)"/>
    <numFmt numFmtId="170" formatCode="0.00_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Calibri"/>
      <family val="2"/>
      <scheme val="minor"/>
    </font>
    <font>
      <b/>
      <sz val="10"/>
      <name val="Arial"/>
      <family val="2"/>
    </font>
    <font>
      <sz val="10"/>
      <name val="宋体"/>
      <charset val="134"/>
    </font>
    <font>
      <sz val="10"/>
      <name val="Calibri"/>
      <family val="2"/>
      <scheme val="minor"/>
    </font>
    <font>
      <b/>
      <sz val="9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sz val="9"/>
      <name val="Calibri"/>
      <family val="2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4" fontId="3" fillId="0" borderId="3" xfId="1" applyFont="1" applyBorder="1" applyAlignment="1">
      <alignment horizontal="center" vertical="center" wrapText="1"/>
    </xf>
    <xf numFmtId="44" fontId="3" fillId="0" borderId="4" xfId="1" applyFont="1" applyBorder="1" applyAlignment="1">
      <alignment horizontal="center" vertical="center" wrapText="1"/>
    </xf>
    <xf numFmtId="44" fontId="3" fillId="0" borderId="5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/>
    </xf>
    <xf numFmtId="44" fontId="2" fillId="0" borderId="1" xfId="1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2" applyNumberFormat="1" applyFont="1" applyBorder="1" applyAlignment="1">
      <alignment vertical="center"/>
    </xf>
    <xf numFmtId="10" fontId="2" fillId="2" borderId="1" xfId="2" applyNumberFormat="1" applyFont="1" applyFill="1" applyBorder="1" applyAlignment="1">
      <alignment vertical="center"/>
    </xf>
    <xf numFmtId="44" fontId="2" fillId="0" borderId="1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0" fontId="3" fillId="2" borderId="3" xfId="2" applyNumberFormat="1" applyFont="1" applyFill="1" applyBorder="1" applyAlignment="1">
      <alignment horizontal="center" vertical="center" wrapText="1"/>
    </xf>
    <xf numFmtId="10" fontId="3" fillId="2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0" fontId="8" fillId="5" borderId="5" xfId="0" applyNumberFormat="1" applyFont="1" applyFill="1" applyBorder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/>
    </xf>
    <xf numFmtId="165" fontId="13" fillId="0" borderId="1" xfId="1" applyNumberFormat="1" applyFont="1" applyBorder="1" applyAlignment="1">
      <alignment horizontal="center" vertical="center"/>
    </xf>
    <xf numFmtId="10" fontId="13" fillId="0" borderId="1" xfId="2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4" fillId="3" borderId="1" xfId="0" quotePrefix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/>
    </xf>
    <xf numFmtId="166" fontId="19" fillId="0" borderId="1" xfId="0" applyNumberFormat="1" applyFont="1" applyBorder="1" applyAlignment="1">
      <alignment horizontal="center"/>
    </xf>
    <xf numFmtId="167" fontId="20" fillId="0" borderId="1" xfId="1" applyNumberFormat="1" applyFont="1" applyBorder="1" applyAlignment="1">
      <alignment horizontal="center" vertical="center"/>
    </xf>
    <xf numFmtId="165" fontId="20" fillId="0" borderId="1" xfId="1" applyNumberFormat="1" applyFont="1" applyBorder="1" applyAlignment="1">
      <alignment horizontal="center" vertical="center"/>
    </xf>
    <xf numFmtId="10" fontId="20" fillId="0" borderId="1" xfId="2" applyNumberFormat="1" applyFont="1" applyBorder="1" applyAlignment="1">
      <alignment horizontal="center" vertical="center"/>
    </xf>
    <xf numFmtId="165" fontId="20" fillId="6" borderId="1" xfId="1" applyNumberFormat="1" applyFont="1" applyFill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5" fontId="13" fillId="0" borderId="0" xfId="1" applyNumberFormat="1" applyFont="1" applyBorder="1" applyAlignment="1">
      <alignment horizontal="center" vertical="center"/>
    </xf>
    <xf numFmtId="10" fontId="13" fillId="0" borderId="0" xfId="2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4" fillId="3" borderId="8" xfId="0" quotePrefix="1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0" fontId="12" fillId="0" borderId="8" xfId="0" applyNumberFormat="1" applyFont="1" applyBorder="1" applyAlignment="1">
      <alignment horizontal="center" vertical="center"/>
    </xf>
    <xf numFmtId="170" fontId="12" fillId="0" borderId="7" xfId="0" applyNumberFormat="1" applyFont="1" applyBorder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2" fillId="0" borderId="8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2" fontId="12" fillId="0" borderId="8" xfId="0" applyNumberFormat="1" applyFont="1" applyFill="1" applyBorder="1" applyAlignment="1">
      <alignment horizontal="center"/>
    </xf>
    <xf numFmtId="0" fontId="12" fillId="0" borderId="7" xfId="0" applyFont="1" applyFill="1" applyBorder="1" applyAlignment="1">
      <alignment vertical="center"/>
    </xf>
    <xf numFmtId="169" fontId="12" fillId="0" borderId="1" xfId="0" applyNumberFormat="1" applyFont="1" applyFill="1" applyBorder="1" applyAlignment="1">
      <alignment horizontal="center"/>
    </xf>
    <xf numFmtId="165" fontId="11" fillId="0" borderId="0" xfId="1" applyNumberFormat="1" applyFont="1" applyFill="1" applyAlignment="1">
      <alignment horizontal="center" vertical="center"/>
    </xf>
    <xf numFmtId="168" fontId="12" fillId="0" borderId="10" xfId="0" applyNumberFormat="1" applyFont="1" applyFill="1" applyBorder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0" fontId="0" fillId="0" borderId="0" xfId="0" applyBorder="1"/>
    <xf numFmtId="170" fontId="12" fillId="0" borderId="1" xfId="0" applyNumberFormat="1" applyFont="1" applyBorder="1" applyAlignment="1">
      <alignment horizontal="center" vertical="center"/>
    </xf>
    <xf numFmtId="165" fontId="13" fillId="0" borderId="1" xfId="1" applyNumberFormat="1" applyFont="1" applyBorder="1" applyAlignment="1">
      <alignment horizontal="center" vertical="center" wrapText="1"/>
    </xf>
    <xf numFmtId="165" fontId="11" fillId="0" borderId="0" xfId="1" applyNumberFormat="1" applyFont="1" applyFill="1" applyBorder="1" applyAlignment="1">
      <alignment horizontal="center" vertical="center"/>
    </xf>
    <xf numFmtId="165" fontId="20" fillId="0" borderId="0" xfId="1" applyNumberFormat="1" applyFont="1" applyFill="1" applyBorder="1" applyAlignment="1">
      <alignment horizontal="center" vertical="center"/>
    </xf>
    <xf numFmtId="165" fontId="11" fillId="0" borderId="0" xfId="0" applyNumberFormat="1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7C9C-C5A5-44BC-B202-5C059162A085}">
  <dimension ref="A1:AF2"/>
  <sheetViews>
    <sheetView tabSelected="1" workbookViewId="0">
      <selection activeCell="G15" sqref="G15"/>
    </sheetView>
  </sheetViews>
  <sheetFormatPr baseColWidth="10" defaultRowHeight="15"/>
  <cols>
    <col min="8" max="8" width="12" bestFit="1" customWidth="1"/>
  </cols>
  <sheetData>
    <row r="1" spans="1:32" s="1" customFormat="1" ht="48">
      <c r="B1" s="2" t="s">
        <v>0</v>
      </c>
      <c r="C1" s="2" t="s">
        <v>1</v>
      </c>
      <c r="D1" s="2" t="s">
        <v>2</v>
      </c>
      <c r="E1" s="3" t="s">
        <v>7</v>
      </c>
      <c r="F1" s="20" t="s">
        <v>8</v>
      </c>
      <c r="G1" s="5" t="s">
        <v>9</v>
      </c>
      <c r="H1" s="5" t="s">
        <v>10</v>
      </c>
      <c r="I1" s="4" t="s">
        <v>12</v>
      </c>
      <c r="J1" s="5" t="s">
        <v>13</v>
      </c>
      <c r="K1" s="21" t="s">
        <v>14</v>
      </c>
      <c r="L1" s="5" t="s">
        <v>15</v>
      </c>
      <c r="M1" s="21" t="s">
        <v>14</v>
      </c>
      <c r="N1" s="5" t="s">
        <v>16</v>
      </c>
      <c r="O1" s="21" t="s">
        <v>14</v>
      </c>
      <c r="P1" s="5" t="s">
        <v>17</v>
      </c>
      <c r="Q1" s="21" t="s">
        <v>14</v>
      </c>
      <c r="R1" s="5" t="s">
        <v>18</v>
      </c>
      <c r="S1" s="21" t="s">
        <v>14</v>
      </c>
      <c r="T1" s="5" t="s">
        <v>19</v>
      </c>
      <c r="U1" s="21" t="s">
        <v>14</v>
      </c>
      <c r="V1" s="6" t="s">
        <v>21</v>
      </c>
      <c r="W1" s="21" t="s">
        <v>14</v>
      </c>
      <c r="X1" s="6" t="s">
        <v>22</v>
      </c>
      <c r="Y1" s="21" t="s">
        <v>14</v>
      </c>
      <c r="Z1" s="7" t="s">
        <v>3</v>
      </c>
      <c r="AA1" s="22" t="s">
        <v>20</v>
      </c>
    </row>
    <row r="2" spans="1:32" s="18" customFormat="1" ht="24">
      <c r="A2" s="8"/>
      <c r="B2" s="9">
        <v>46289</v>
      </c>
      <c r="C2" s="10" t="s">
        <v>4</v>
      </c>
      <c r="D2" s="11" t="s">
        <v>11</v>
      </c>
      <c r="E2" s="12" t="s">
        <v>5</v>
      </c>
      <c r="F2" s="8" t="s">
        <v>6</v>
      </c>
      <c r="G2" s="13">
        <v>17.245000000000001</v>
      </c>
      <c r="H2" s="13">
        <f>(78180.97+2780.67)*G2</f>
        <v>1396183.4818000002</v>
      </c>
      <c r="I2" s="14">
        <f>32729.9+471.3+318.9</f>
        <v>33520.100000000006</v>
      </c>
      <c r="J2" s="13">
        <f>8680*G2</f>
        <v>149686.6</v>
      </c>
      <c r="K2" s="15">
        <f t="shared" ref="K2" si="0">J2/H2</f>
        <v>0.10721126696544189</v>
      </c>
      <c r="L2" s="13">
        <f>278.47*G2</f>
        <v>4802.2151500000009</v>
      </c>
      <c r="M2" s="16">
        <f t="shared" ref="M2" si="1">L2/H2</f>
        <v>3.4395301280952316E-3</v>
      </c>
      <c r="N2" s="17">
        <v>12140.112500000001</v>
      </c>
      <c r="O2" s="15">
        <f t="shared" ref="O2" si="2">N2/H2</f>
        <v>8.6952128128235818E-3</v>
      </c>
      <c r="P2" s="17">
        <v>135032</v>
      </c>
      <c r="Q2" s="15">
        <f t="shared" ref="Q2" si="3">P2/H2</f>
        <v>9.6715082050614742E-2</v>
      </c>
      <c r="R2" s="17">
        <f>9966+330</f>
        <v>10296</v>
      </c>
      <c r="S2" s="15">
        <f t="shared" ref="S2" si="4">R2/H2</f>
        <v>7.3743889210937368E-3</v>
      </c>
      <c r="T2" s="17">
        <f>(10500+7540+5100+1000)/1.16</f>
        <v>20810.344827586207</v>
      </c>
      <c r="U2" s="15">
        <f t="shared" ref="U2" si="5">T2/H2</f>
        <v>1.4905164757254475E-2</v>
      </c>
      <c r="V2" s="13">
        <v>8500</v>
      </c>
      <c r="W2" s="15">
        <f t="shared" ref="W2" si="6">V2/H2</f>
        <v>6.0880250416954895E-3</v>
      </c>
      <c r="X2" s="13">
        <v>28100</v>
      </c>
      <c r="Y2" s="15">
        <f t="shared" ref="Y2" si="7">X2/H2</f>
        <v>2.012629454960509E-2</v>
      </c>
      <c r="Z2" s="13">
        <f t="shared" ref="Z2" si="8">J2+L2+N2+P2+R2+T2+V2+X2</f>
        <v>369367.27247758617</v>
      </c>
      <c r="AA2" s="15">
        <f>Z2/H2</f>
        <v>0.26455496522662419</v>
      </c>
      <c r="AE2" s="19"/>
      <c r="AF2" s="1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51B6-54FD-4836-A9EE-8002B6486D39}">
  <dimension ref="A1:XFD5"/>
  <sheetViews>
    <sheetView workbookViewId="0">
      <selection activeCell="G17" sqref="G17"/>
    </sheetView>
  </sheetViews>
  <sheetFormatPr baseColWidth="10" defaultRowHeight="15"/>
  <sheetData>
    <row r="1" spans="1:246 16384:16384" s="23" customFormat="1" ht="17.25" customHeight="1">
      <c r="B1" s="24"/>
      <c r="C1" s="24"/>
      <c r="D1" s="25"/>
      <c r="E1" s="26"/>
      <c r="F1" s="27"/>
      <c r="G1" s="28"/>
      <c r="H1" s="29"/>
      <c r="I1" s="29"/>
      <c r="J1" s="30">
        <v>0.23</v>
      </c>
      <c r="K1" s="31"/>
      <c r="L1" s="31"/>
      <c r="M1" s="31"/>
      <c r="N1" s="31"/>
      <c r="O1" s="31"/>
      <c r="P1" s="31"/>
      <c r="R1" s="32"/>
    </row>
    <row r="2" spans="1:246 16384:16384" s="33" customFormat="1" ht="30">
      <c r="B2" s="34"/>
      <c r="C2" s="35" t="s">
        <v>35</v>
      </c>
      <c r="D2" s="36" t="s">
        <v>36</v>
      </c>
      <c r="E2" s="36"/>
      <c r="F2" s="37"/>
      <c r="G2" s="38"/>
      <c r="H2" s="39" t="s">
        <v>37</v>
      </c>
      <c r="I2" s="82" t="s">
        <v>38</v>
      </c>
      <c r="J2" s="82" t="s">
        <v>9</v>
      </c>
      <c r="K2" s="41" t="s">
        <v>23</v>
      </c>
      <c r="L2" s="40" t="s">
        <v>24</v>
      </c>
      <c r="M2" s="40" t="s">
        <v>25</v>
      </c>
      <c r="N2" s="40" t="s">
        <v>26</v>
      </c>
      <c r="O2" s="42" t="s">
        <v>27</v>
      </c>
      <c r="P2" s="43" t="s">
        <v>28</v>
      </c>
      <c r="Q2" s="23"/>
      <c r="R2" s="32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32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32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32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32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32"/>
      <c r="DT2" s="23"/>
      <c r="DU2" s="23"/>
      <c r="DV2" s="23"/>
      <c r="DW2" s="23"/>
      <c r="DX2" s="23"/>
      <c r="DY2" s="23"/>
      <c r="DZ2" s="40"/>
      <c r="EA2" s="41"/>
      <c r="EB2" s="40"/>
      <c r="EC2" s="40"/>
      <c r="ED2" s="40"/>
      <c r="EE2" s="42"/>
      <c r="EF2" s="44"/>
      <c r="EG2" s="37"/>
      <c r="EH2" s="44"/>
      <c r="EI2" s="36"/>
      <c r="EJ2" s="36"/>
      <c r="EK2" s="37"/>
      <c r="EL2" s="43"/>
      <c r="EM2" s="39"/>
      <c r="EN2" s="40"/>
      <c r="EO2" s="40"/>
      <c r="EP2" s="41"/>
      <c r="EQ2" s="40"/>
      <c r="ER2" s="40"/>
      <c r="ES2" s="40"/>
      <c r="ET2" s="42"/>
      <c r="EU2" s="44"/>
      <c r="EV2" s="37"/>
      <c r="EW2" s="44"/>
      <c r="EX2" s="36"/>
      <c r="EY2" s="36"/>
      <c r="EZ2" s="37"/>
      <c r="FA2" s="43"/>
      <c r="FB2" s="39"/>
      <c r="FC2" s="40"/>
      <c r="FD2" s="40"/>
      <c r="FE2" s="41"/>
      <c r="FF2" s="40"/>
      <c r="FG2" s="40"/>
      <c r="FH2" s="40"/>
      <c r="FI2" s="42"/>
      <c r="FJ2" s="44"/>
      <c r="FK2" s="37"/>
      <c r="FL2" s="44"/>
      <c r="FM2" s="36"/>
      <c r="FN2" s="36"/>
      <c r="FO2" s="37"/>
      <c r="FP2" s="43"/>
      <c r="FQ2" s="39"/>
      <c r="FR2" s="40"/>
      <c r="FS2" s="40"/>
      <c r="FT2" s="41"/>
      <c r="FU2" s="40"/>
      <c r="FV2" s="40"/>
      <c r="FW2" s="40"/>
      <c r="FX2" s="42"/>
      <c r="FY2" s="44"/>
      <c r="FZ2" s="37"/>
      <c r="GA2" s="44"/>
      <c r="GB2" s="36"/>
      <c r="GC2" s="36"/>
      <c r="GD2" s="37"/>
      <c r="GE2" s="43"/>
      <c r="GF2" s="39"/>
      <c r="GG2" s="40"/>
      <c r="GH2" s="40"/>
      <c r="GI2" s="41"/>
      <c r="GJ2" s="40"/>
      <c r="GK2" s="40"/>
      <c r="GL2" s="40"/>
      <c r="GM2" s="42"/>
      <c r="GN2" s="44"/>
      <c r="GO2" s="37"/>
      <c r="GP2" s="44"/>
      <c r="GQ2" s="36"/>
      <c r="GR2" s="36"/>
      <c r="GS2" s="37"/>
      <c r="GT2" s="43"/>
      <c r="GU2" s="39"/>
      <c r="GV2" s="40"/>
      <c r="GW2" s="40"/>
      <c r="GX2" s="41"/>
      <c r="GY2" s="40"/>
      <c r="GZ2" s="40"/>
      <c r="HA2" s="40"/>
      <c r="HB2" s="42"/>
      <c r="HC2" s="44"/>
      <c r="HD2" s="37"/>
      <c r="HE2" s="44"/>
      <c r="HF2" s="36"/>
      <c r="HG2" s="36"/>
      <c r="HH2" s="37"/>
      <c r="HI2" s="43"/>
      <c r="HJ2" s="39"/>
      <c r="HK2" s="40"/>
      <c r="HL2" s="40"/>
      <c r="HM2" s="41"/>
      <c r="HN2" s="40"/>
      <c r="HO2" s="40"/>
      <c r="HP2" s="40"/>
      <c r="HQ2" s="42"/>
      <c r="HR2" s="44"/>
      <c r="HS2" s="37"/>
      <c r="HT2" s="44"/>
      <c r="HU2" s="36"/>
      <c r="HV2" s="36"/>
      <c r="HW2" s="37"/>
      <c r="HX2" s="43"/>
      <c r="HY2" s="39"/>
      <c r="HZ2" s="40"/>
      <c r="IA2" s="40"/>
      <c r="IB2" s="41"/>
      <c r="IC2" s="40"/>
      <c r="ID2" s="40"/>
      <c r="IE2" s="40"/>
      <c r="IF2" s="42"/>
      <c r="IG2" s="44"/>
      <c r="IH2" s="37"/>
      <c r="II2" s="44"/>
      <c r="IJ2" s="36"/>
      <c r="IK2" s="36"/>
      <c r="IL2" s="37"/>
    </row>
    <row r="3" spans="1:246 16384:16384" s="33" customFormat="1" ht="20.25" customHeight="1">
      <c r="A3" s="70"/>
      <c r="B3" s="45"/>
      <c r="C3" s="46" t="s">
        <v>29</v>
      </c>
      <c r="D3" s="47">
        <v>7</v>
      </c>
      <c r="E3" s="48" t="s">
        <v>30</v>
      </c>
      <c r="F3" s="49">
        <v>318.89999999999998</v>
      </c>
      <c r="G3" s="50" t="s">
        <v>31</v>
      </c>
      <c r="H3" s="51">
        <v>4.3899999999999997</v>
      </c>
      <c r="I3" s="52">
        <f t="shared" ref="I3" si="0">F3*H3</f>
        <v>1399.9709999999998</v>
      </c>
      <c r="J3" s="53">
        <v>18.3688</v>
      </c>
      <c r="K3" s="54">
        <f t="shared" ref="K3" si="1">H3*J3</f>
        <v>80.639032</v>
      </c>
      <c r="L3" s="55">
        <f>J1</f>
        <v>0.23</v>
      </c>
      <c r="M3" s="56">
        <f t="shared" ref="M3" si="2">(K3*L3)+K3</f>
        <v>99.18600936</v>
      </c>
      <c r="N3" s="54">
        <f t="shared" ref="N3" si="3">M3*F3</f>
        <v>31630.418384903998</v>
      </c>
      <c r="O3" s="56">
        <f t="shared" ref="O3" si="4">M3/0.88</f>
        <v>112.71137427272727</v>
      </c>
      <c r="P3" s="57">
        <f t="shared" ref="P3" si="5">O3*F3</f>
        <v>35943.657255572725</v>
      </c>
      <c r="Q3" s="23"/>
      <c r="R3" s="32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32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32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32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32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32"/>
      <c r="DT3" s="23"/>
      <c r="DU3" s="23"/>
      <c r="DV3" s="23"/>
      <c r="DW3" s="23"/>
      <c r="DX3" s="23"/>
      <c r="DY3" s="23"/>
      <c r="DZ3" s="58"/>
      <c r="EA3" s="59"/>
      <c r="EB3" s="58"/>
      <c r="EC3" s="58"/>
      <c r="ED3" s="58"/>
      <c r="EE3" s="60"/>
      <c r="EF3" s="61"/>
      <c r="EG3" s="61"/>
      <c r="EH3" s="61"/>
      <c r="EI3" s="61"/>
      <c r="EJ3" s="61"/>
      <c r="EK3" s="61"/>
      <c r="EL3" s="61"/>
      <c r="EM3" s="62"/>
      <c r="EN3" s="58"/>
      <c r="EO3" s="58"/>
      <c r="EP3" s="59"/>
      <c r="EQ3" s="58"/>
      <c r="ER3" s="58"/>
      <c r="ES3" s="58"/>
      <c r="ET3" s="60"/>
      <c r="EU3" s="61"/>
      <c r="EV3" s="61"/>
      <c r="EW3" s="61"/>
      <c r="EX3" s="61"/>
      <c r="EY3" s="61"/>
      <c r="EZ3" s="61"/>
      <c r="FA3" s="61"/>
      <c r="FB3" s="62"/>
      <c r="FC3" s="58"/>
      <c r="FD3" s="58"/>
      <c r="FE3" s="59"/>
      <c r="FF3" s="58"/>
      <c r="FG3" s="58"/>
      <c r="FH3" s="58"/>
      <c r="FI3" s="60"/>
      <c r="FJ3" s="61"/>
      <c r="FK3" s="61"/>
      <c r="FL3" s="61"/>
      <c r="FM3" s="61"/>
      <c r="FN3" s="61"/>
      <c r="FO3" s="61"/>
      <c r="FP3" s="61"/>
      <c r="FQ3" s="62"/>
      <c r="FR3" s="58"/>
      <c r="FS3" s="58"/>
      <c r="FT3" s="59"/>
      <c r="FU3" s="58"/>
      <c r="FV3" s="58"/>
      <c r="FW3" s="58"/>
      <c r="FX3" s="60"/>
      <c r="FY3" s="61"/>
      <c r="FZ3" s="61"/>
      <c r="GA3" s="61"/>
      <c r="GB3" s="61"/>
      <c r="GC3" s="61"/>
      <c r="GD3" s="61"/>
      <c r="GE3" s="61"/>
      <c r="GF3" s="62"/>
      <c r="GG3" s="58"/>
      <c r="GH3" s="58"/>
      <c r="GI3" s="59"/>
      <c r="GJ3" s="58"/>
      <c r="GK3" s="58"/>
      <c r="GL3" s="58"/>
      <c r="GM3" s="60"/>
      <c r="GN3" s="61"/>
      <c r="GO3" s="61"/>
      <c r="GP3" s="61"/>
      <c r="GQ3" s="61"/>
      <c r="GR3" s="61"/>
      <c r="GS3" s="61"/>
      <c r="GT3" s="61"/>
      <c r="GU3" s="62"/>
      <c r="GV3" s="58"/>
      <c r="GW3" s="58"/>
      <c r="GX3" s="59"/>
      <c r="GY3" s="58"/>
      <c r="GZ3" s="58"/>
      <c r="HA3" s="58"/>
      <c r="HB3" s="60"/>
      <c r="HC3" s="61"/>
      <c r="HD3" s="61"/>
      <c r="HE3" s="61"/>
      <c r="HF3" s="61"/>
      <c r="HG3" s="61"/>
      <c r="HH3" s="61"/>
      <c r="HI3" s="61"/>
      <c r="HJ3" s="62"/>
      <c r="HK3" s="58"/>
      <c r="HL3" s="58"/>
      <c r="HM3" s="59"/>
      <c r="HN3" s="58"/>
      <c r="HO3" s="58"/>
      <c r="HP3" s="58"/>
      <c r="HQ3" s="60"/>
      <c r="HR3" s="61"/>
      <c r="HS3" s="61"/>
      <c r="HT3" s="61"/>
      <c r="HU3" s="61"/>
      <c r="HV3" s="61"/>
      <c r="HW3" s="61"/>
      <c r="HX3" s="61"/>
      <c r="HY3" s="62"/>
      <c r="HZ3" s="58"/>
      <c r="IA3" s="58"/>
      <c r="IB3" s="59"/>
      <c r="IC3" s="58"/>
      <c r="ID3" s="58"/>
      <c r="IE3" s="58"/>
      <c r="IF3" s="60"/>
      <c r="IG3" s="61"/>
      <c r="IH3" s="61"/>
      <c r="II3" s="61"/>
      <c r="IJ3" s="61"/>
      <c r="IK3" s="61"/>
      <c r="IL3" s="61"/>
    </row>
    <row r="4" spans="1:246 16384:16384" s="63" customFormat="1" ht="24.95" customHeight="1">
      <c r="A4" s="71"/>
      <c r="B4" s="64"/>
      <c r="C4" s="65"/>
      <c r="D4" s="72">
        <f>SUM(D3:D3)</f>
        <v>7</v>
      </c>
      <c r="E4" s="73"/>
      <c r="F4" s="74">
        <f>SUM(F3:F3)</f>
        <v>318.89999999999998</v>
      </c>
      <c r="G4" s="75"/>
      <c r="H4" s="78"/>
      <c r="I4" s="76">
        <f>SUM(I3:I3)</f>
        <v>1399.9709999999998</v>
      </c>
      <c r="J4"/>
      <c r="K4" s="77"/>
      <c r="L4" s="77"/>
      <c r="M4" s="77"/>
      <c r="N4" s="83"/>
      <c r="O4" s="84"/>
      <c r="P4" s="85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XFD4" s="63">
        <f>SUM(A4:XFC4)</f>
        <v>1725.8709999999996</v>
      </c>
    </row>
    <row r="5" spans="1:246 16384:16384" s="60" customFormat="1" ht="24.95" customHeight="1">
      <c r="B5" s="66" t="s">
        <v>32</v>
      </c>
      <c r="C5" s="66" t="s">
        <v>33</v>
      </c>
      <c r="D5" s="67"/>
      <c r="E5" s="68"/>
      <c r="F5" s="81" t="s">
        <v>31</v>
      </c>
      <c r="G5" s="81"/>
      <c r="H5" s="79"/>
      <c r="I5" s="79"/>
      <c r="J5" s="79"/>
      <c r="K5" s="80"/>
      <c r="L5"/>
      <c r="M5"/>
      <c r="N5" s="69" t="s">
        <v>34</v>
      </c>
      <c r="O5" s="69"/>
    </row>
  </sheetData>
  <mergeCells count="21">
    <mergeCell ref="D4:E4"/>
    <mergeCell ref="D5:E5"/>
    <mergeCell ref="F5:G5"/>
    <mergeCell ref="HC2:HD2"/>
    <mergeCell ref="HE2:HH2"/>
    <mergeCell ref="HR2:HS2"/>
    <mergeCell ref="HT2:HW2"/>
    <mergeCell ref="IG2:IH2"/>
    <mergeCell ref="II2:IL2"/>
    <mergeCell ref="FJ2:FK2"/>
    <mergeCell ref="FL2:FO2"/>
    <mergeCell ref="FY2:FZ2"/>
    <mergeCell ref="GA2:GD2"/>
    <mergeCell ref="GN2:GO2"/>
    <mergeCell ref="GP2:GS2"/>
    <mergeCell ref="J1:P1"/>
    <mergeCell ref="D2:F2"/>
    <mergeCell ref="EF2:EG2"/>
    <mergeCell ref="EH2:EK2"/>
    <mergeCell ref="EU2:EV2"/>
    <mergeCell ref="EW2:E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 POR EMBARQUE</vt:lpstr>
      <vt:lpstr>COSTO POR 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2026-10-20T16:48:46Z</dcterms:created>
  <dcterms:modified xsi:type="dcterms:W3CDTF">2026-10-20T17:18:05Z</dcterms:modified>
</cp:coreProperties>
</file>