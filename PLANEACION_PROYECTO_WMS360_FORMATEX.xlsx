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SHBOARD_RESUMEN" sheetId="1" state="visible" r:id="rId1"/>
    <sheet xmlns:r="http://schemas.openxmlformats.org/officeDocument/2006/relationships" name="02_CRONOGRAMA_GANTT_24SEM" sheetId="2" state="visible" r:id="rId2"/>
    <sheet xmlns:r="http://schemas.openxmlformats.org/officeDocument/2006/relationships" name="03_ENTREVISTAS_VIDEOLLAMADA" sheetId="3" state="visible" r:id="rId3"/>
    <sheet xmlns:r="http://schemas.openxmlformats.org/officeDocument/2006/relationships" name="04_MATRIZ_RACI" sheetId="4" state="visible" r:id="rId4"/>
    <sheet xmlns:r="http://schemas.openxmlformats.org/officeDocument/2006/relationships" name="05_CRITERIOS_UAT_ACEPT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1E293B"/>
      <sz val="12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color rgb="001E293B"/>
      <sz val="9"/>
    </font>
    <font>
      <name val="Calibri"/>
      <b val="1"/>
      <color rgb="00FFFFFF"/>
      <sz val="11"/>
    </font>
    <font>
      <name val="Calibri"/>
      <color rgb="00475569"/>
      <sz val="9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3730A3"/>
      <sz val="9"/>
    </font>
    <font>
      <name val="Calibri"/>
      <b val="1"/>
      <color rgb="0092400E"/>
      <sz val="9"/>
    </font>
    <font>
      <name val="Calibri"/>
      <b val="1"/>
      <color rgb="00166534"/>
      <sz val="9"/>
    </font>
    <font>
      <name val="Calibri"/>
      <i val="1"/>
      <color rgb="00FFFFFF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b val="1"/>
      <color rgb="001E40AF"/>
      <sz val="10"/>
    </font>
  </fonts>
  <fills count="2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166534"/>
        <bgColor rgb="00166534"/>
      </patternFill>
    </fill>
    <fill>
      <patternFill patternType="solid">
        <fgColor rgb="002563EB"/>
        <bgColor rgb="002563EB"/>
      </patternFill>
    </fill>
    <fill>
      <patternFill patternType="solid">
        <fgColor rgb="003B82F6"/>
        <bgColor rgb="003B82F6"/>
      </patternFill>
    </fill>
    <fill>
      <patternFill patternType="solid">
        <fgColor rgb="0015803D"/>
        <bgColor rgb="0015803D"/>
      </patternFill>
    </fill>
    <fill>
      <patternFill patternType="solid">
        <fgColor rgb="0016A34A"/>
        <bgColor rgb="0016A34A"/>
      </patternFill>
    </fill>
    <fill>
      <patternFill patternType="solid">
        <fgColor rgb="0022C55E"/>
        <bgColor rgb="0022C55E"/>
      </patternFill>
    </fill>
    <fill>
      <patternFill patternType="solid">
        <fgColor rgb="00E0E7FF"/>
        <bgColor rgb="00E0E7FF"/>
      </patternFill>
    </fill>
    <fill>
      <patternFill patternType="solid">
        <fgColor rgb="00FCA5A5"/>
        <bgColor rgb="00FCA5A5"/>
      </patternFill>
    </fill>
    <fill>
      <patternFill patternType="solid">
        <fgColor rgb="00FEF3C7"/>
        <bgColor rgb="00FEF3C7"/>
      </patternFill>
    </fill>
    <fill>
      <patternFill patternType="solid">
        <fgColor rgb="0093C5FD"/>
        <bgColor rgb="0093C5FD"/>
      </patternFill>
    </fill>
    <fill>
      <patternFill patternType="solid">
        <fgColor rgb="00DCFCE7"/>
        <bgColor rgb="00DCFCE7"/>
      </patternFill>
    </fill>
    <fill>
      <patternFill patternType="solid">
        <fgColor rgb="0086EFAC"/>
        <bgColor rgb="0086EFAC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5" borderId="1" applyAlignment="1" pivotButton="0" quotePrefix="0" xfId="0">
      <alignment vertical="top" wrapText="1"/>
    </xf>
    <xf numFmtId="0" fontId="7" fillId="6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8" fillId="7" borderId="1" pivotButton="0" quotePrefix="0" xfId="0"/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4" fillId="4" borderId="2" pivotButton="0" quotePrefix="0" xfId="0"/>
    <xf numFmtId="0" fontId="0" fillId="0" borderId="2" pivotButton="0" quotePrefix="0" xfId="0"/>
    <xf numFmtId="164" fontId="4" fillId="4" borderId="2" applyAlignment="1" pivotButton="0" quotePrefix="0" xfId="0">
      <alignment horizontal="right"/>
    </xf>
    <xf numFmtId="165" fontId="4" fillId="4" borderId="2" applyAlignment="1" pivotButton="0" quotePrefix="0" xfId="0">
      <alignment horizontal="right"/>
    </xf>
    <xf numFmtId="0" fontId="9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12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13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0" fillId="7" borderId="1" pivotButton="0" quotePrefix="0" xfId="0"/>
    <xf numFmtId="0" fontId="8" fillId="4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0" fillId="19" borderId="1" pivotButton="0" quotePrefix="0" xfId="0"/>
    <xf numFmtId="0" fontId="15" fillId="3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center"/>
    </xf>
    <xf numFmtId="0" fontId="16" fillId="20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14" fillId="18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18" customWidth="1" min="3" max="3"/>
    <col width="18" customWidth="1" min="4" max="4"/>
    <col width="14" customWidth="1" min="5" max="5"/>
    <col width="4" customWidth="1" min="6" max="6"/>
    <col width="16" customWidth="1" min="7" max="7"/>
    <col width="20" customWidth="1" min="8" max="8"/>
    <col width="20" customWidth="1" min="9" max="9"/>
    <col width="20" customWidth="1" min="10" max="10"/>
    <col width="22" customWidth="1" min="11" max="11"/>
  </cols>
  <sheetData>
    <row r="1">
      <c r="A1" s="1" t="inlineStr">
        <is>
          <t>WMS 360+ FORMATEX — PLAN MAESTRO DE PROYECTO</t>
        </is>
      </c>
    </row>
    <row r="2"/>
    <row r="3">
      <c r="A3" s="2" t="inlineStr">
        <is>
          <t>CRONOGRAMA INTEGRAL DE 6 MESES (24 SEMANAS) | REVALIDACIÓN POR VIDEOLLAMADA, DESARROLLO, PRUEBAS EN BODEGA Y GO-LIVE</t>
        </is>
      </c>
    </row>
    <row r="5">
      <c r="A5" s="3" t="inlineStr">
        <is>
          <t>FICHA TÉCNICA DEL PROYECTO</t>
        </is>
      </c>
      <c r="G5" s="3" t="inlineStr">
        <is>
          <t>ESTRATEGIA Y ROL DEL PROTOTIPO VISUAL</t>
        </is>
      </c>
    </row>
    <row r="6">
      <c r="A6" s="4" t="inlineStr">
        <is>
          <t>Cliente:</t>
        </is>
      </c>
      <c r="B6" s="5" t="inlineStr">
        <is>
          <t>FORMA TEXTIL S. DE R.L. DE C.V. (Formatextil) — Guadalajara, Jalisco</t>
        </is>
      </c>
      <c r="C6" s="6" t="n"/>
      <c r="D6" s="6" t="n"/>
      <c r="E6" s="6" t="n"/>
      <c r="G6" s="7" t="inlineStr">
        <is>
          <t>Acelerador de Proyecto y Validación Temprana:
Para garantizar el éxito de la implementación y mitigar cualquier incertidumbre técnica en la operación textil (rollos con metrajes variables, retazos vivos, niveles en Nave Atlas y mesas de corte), Movida TCI preparó proactivamente un prototipo visual interactivo de alta fidelidad.
A ojos del cliente y la directiva, este prototipo valida visualmente que las funcionalidades solicitadas son viables y permite transformar las entrevistas de levantamiento en sesiones dinámicas donde cada área interactúa con pantallas reales, garantizando que el desarrollo de los primeros 3 meses se ejecute con cero reprocesos.</t>
        </is>
      </c>
      <c r="H6" s="6" t="n"/>
      <c r="I6" s="6" t="n"/>
      <c r="J6" s="6" t="n"/>
      <c r="K6" s="6" t="n"/>
    </row>
    <row r="7">
      <c r="A7" s="4" t="inlineStr">
        <is>
          <t>Líder por Formatex:</t>
        </is>
      </c>
      <c r="B7" s="5" t="inlineStr">
        <is>
          <t>Andrea / Equipo Directivo Formatex</t>
        </is>
      </c>
      <c r="C7" s="6" t="n"/>
      <c r="D7" s="6" t="n"/>
      <c r="E7" s="6" t="n"/>
      <c r="G7" s="6" t="n"/>
      <c r="H7" s="6" t="n"/>
      <c r="I7" s="6" t="n"/>
      <c r="J7" s="6" t="n"/>
      <c r="K7" s="6" t="n"/>
    </row>
    <row r="8">
      <c r="A8" s="4" t="inlineStr">
        <is>
          <t>Consultoría &amp; Desarrollo:</t>
        </is>
      </c>
      <c r="B8" s="5" t="inlineStr">
        <is>
          <t>MOVIDA TCI (Jonathan Palacios - Líder Técnico)</t>
        </is>
      </c>
      <c r="C8" s="6" t="n"/>
      <c r="D8" s="6" t="n"/>
      <c r="E8" s="6" t="n"/>
      <c r="G8" s="6" t="n"/>
      <c r="H8" s="6" t="n"/>
      <c r="I8" s="6" t="n"/>
      <c r="J8" s="6" t="n"/>
      <c r="K8" s="6" t="n"/>
    </row>
    <row r="9">
      <c r="A9" s="4" t="inlineStr">
        <is>
          <t>Código de SOW:</t>
        </is>
      </c>
      <c r="B9" s="5" t="inlineStr">
        <is>
          <t>MOV-WMS360-Formatex v1.0 (Revisión v1.1 Octubre 2026)</t>
        </is>
      </c>
      <c r="C9" s="6" t="n"/>
      <c r="D9" s="6" t="n"/>
      <c r="E9" s="6" t="n"/>
      <c r="G9" s="6" t="n"/>
      <c r="H9" s="6" t="n"/>
      <c r="I9" s="6" t="n"/>
      <c r="J9" s="6" t="n"/>
      <c r="K9" s="6" t="n"/>
    </row>
    <row r="10">
      <c r="A10" s="4" t="inlineStr">
        <is>
          <t>Alcance Temporal Total:</t>
        </is>
      </c>
      <c r="B10" s="5" t="inlineStr">
        <is>
          <t>6 Meses Calendario (24 Semanas continuas)</t>
        </is>
      </c>
      <c r="C10" s="6" t="n"/>
      <c r="D10" s="6" t="n"/>
      <c r="E10" s="6" t="n"/>
      <c r="G10" s="6" t="n"/>
      <c r="H10" s="6" t="n"/>
      <c r="I10" s="6" t="n"/>
      <c r="J10" s="6" t="n"/>
      <c r="K10" s="6" t="n"/>
    </row>
    <row r="11">
      <c r="A11" s="4" t="inlineStr">
        <is>
          <t>Fecha de Arranque Referencial:</t>
        </is>
      </c>
      <c r="B11" s="5" t="inlineStr">
        <is>
          <t>26 de Octubre de 2026 (Configurable con pago de anticipo)</t>
        </is>
      </c>
      <c r="C11" s="6" t="n"/>
      <c r="D11" s="6" t="n"/>
      <c r="E11" s="6" t="n"/>
      <c r="G11" s="6" t="n"/>
      <c r="H11" s="6" t="n"/>
      <c r="I11" s="6" t="n"/>
      <c r="J11" s="6" t="n"/>
      <c r="K11" s="6" t="n"/>
    </row>
    <row r="12">
      <c r="A12" s="4" t="inlineStr">
        <is>
          <t>Fecha de Salida a Producción (Go-Live):</t>
        </is>
      </c>
      <c r="B12" s="5" t="inlineStr">
        <is>
          <t>Abril de 2027</t>
        </is>
      </c>
      <c r="C12" s="6" t="n"/>
      <c r="D12" s="6" t="n"/>
      <c r="E12" s="6" t="n"/>
      <c r="G12" s="6" t="n"/>
      <c r="H12" s="6" t="n"/>
      <c r="I12" s="6" t="n"/>
      <c r="J12" s="6" t="n"/>
      <c r="K12" s="6" t="n"/>
    </row>
    <row r="13">
      <c r="A13" s="4" t="inlineStr">
        <is>
          <t>Presupuesto Total SOW:</t>
        </is>
      </c>
      <c r="B13" s="5" t="inlineStr">
        <is>
          <t>$290,000 MXN + IVA (Estructurado en 5 hitos de pago)</t>
        </is>
      </c>
      <c r="C13" s="6" t="n"/>
      <c r="D13" s="6" t="n"/>
      <c r="E13" s="6" t="n"/>
      <c r="G13" s="6" t="n"/>
      <c r="H13" s="6" t="n"/>
      <c r="I13" s="6" t="n"/>
      <c r="J13" s="6" t="n"/>
      <c r="K13" s="6" t="n"/>
    </row>
    <row r="15">
      <c r="A15" s="3" t="inlineStr">
        <is>
          <t>LOS DOS GRANDES BLOQUES DEL CRONOGRAMA (6 MESES)</t>
        </is>
      </c>
    </row>
    <row r="16">
      <c r="A16" s="8" t="inlineStr">
        <is>
          <t>BLOQUE 1: MESES 1 A 3 (SEMANAS 1 A 12)</t>
        </is>
      </c>
      <c r="G16" s="9" t="inlineStr">
        <is>
          <t>BLOQUE 2: MESES 4 A 6 (SEMANAS 13 A 24)</t>
        </is>
      </c>
    </row>
    <row r="17">
      <c r="A17" s="10" t="inlineStr">
        <is>
          <t>• Revalidación con 5 áreas vía videollamada (Almacén, ATC, Facturación, Compras, Planeación)</t>
        </is>
      </c>
      <c r="B17" s="6" t="n"/>
      <c r="C17" s="6" t="n"/>
      <c r="D17" s="6" t="n"/>
      <c r="E17" s="6" t="n"/>
      <c r="G17" s="10" t="inlineStr">
        <is>
          <t>• Auditoría técnica en Nave Atlas: cobertura Wi-Fi, Zebra TC22 e impresoras térmicas</t>
        </is>
      </c>
      <c r="H17" s="6" t="n"/>
      <c r="I17" s="6" t="n"/>
      <c r="J17" s="6" t="n"/>
      <c r="K17" s="6" t="n"/>
    </row>
    <row r="18">
      <c r="A18" s="10" t="inlineStr">
        <is>
          <t>• Demostración de flujos y refinamiento de reglas de negocio sobre el prototipo</t>
        </is>
      </c>
      <c r="B18" s="6" t="n"/>
      <c r="C18" s="6" t="n"/>
      <c r="D18" s="6" t="n"/>
      <c r="E18" s="6" t="n"/>
      <c r="G18" s="10" t="inlineStr">
        <is>
          <t>• Señalética física de racks (Pasillos 1-2, Racks 4-6, Niveles 1-2 picking y 3-6 altura)</t>
        </is>
      </c>
      <c r="H18" s="6" t="n"/>
      <c r="I18" s="6" t="n"/>
      <c r="J18" s="6" t="n"/>
      <c r="K18" s="6" t="n"/>
    </row>
    <row r="19">
      <c r="A19" s="10" t="inlineStr">
        <is>
          <t>• Desarrollo y afinación de arquitectura de código en NestJS (Backend) y React/Vite (Frontend)</t>
        </is>
      </c>
      <c r="B19" s="6" t="n"/>
      <c r="C19" s="6" t="n"/>
      <c r="D19" s="6" t="n"/>
      <c r="E19" s="6" t="n"/>
      <c r="G19" s="10" t="inlineStr">
        <is>
          <t>• Carga masiva de catálogos maestros e histórico de 13 meses de ventas CONTPAQi</t>
        </is>
      </c>
      <c r="H19" s="6" t="n"/>
      <c r="I19" s="6" t="n"/>
      <c r="J19" s="6" t="n"/>
      <c r="K19" s="6" t="n"/>
    </row>
    <row r="20">
      <c r="A20" s="10" t="inlineStr">
        <is>
          <t>• Modelado de datos PostgreSQL/Supabase (36 modelos, rollos HU, calidad A-D, árboles de corte)</t>
        </is>
      </c>
      <c r="B20" s="6" t="n"/>
      <c r="C20" s="6" t="n"/>
      <c r="D20" s="6" t="n"/>
      <c r="E20" s="6" t="n"/>
      <c r="G20" s="10" t="inlineStr">
        <is>
          <t>• Despliegue de 'Arranque en Frío Cero Paros' (Convivencia Zona Blanca vs Zona Gris)</t>
        </is>
      </c>
      <c r="H20" s="6" t="n"/>
      <c r="I20" s="6" t="n"/>
      <c r="J20" s="6" t="n"/>
      <c r="K20" s="6" t="n"/>
    </row>
    <row r="21">
      <c r="A21" s="10" t="inlineStr">
        <is>
          <t>• Conexión con facturación electrónica CFDI 4.0 (CSFacturación / Facturapi)</t>
        </is>
      </c>
      <c r="B21" s="6" t="n"/>
      <c r="C21" s="6" t="n"/>
      <c r="D21" s="6" t="n"/>
      <c r="E21" s="6" t="n"/>
      <c r="G21" s="10" t="inlineStr">
        <is>
          <t>• Capacitación intensiva en piso a operadores de almacén, mesas de corte y personal administrativo</t>
        </is>
      </c>
      <c r="H21" s="6" t="n"/>
      <c r="I21" s="6" t="n"/>
      <c r="J21" s="6" t="n"/>
      <c r="K21" s="6" t="n"/>
    </row>
    <row r="22">
      <c r="A22" s="10" t="inlineStr">
        <is>
          <t>• Motor de resurtido automatizado Formatex Master y PWA móvil Zebra TC22</t>
        </is>
      </c>
      <c r="B22" s="6" t="n"/>
      <c r="C22" s="6" t="n"/>
      <c r="D22" s="6" t="n"/>
      <c r="E22" s="6" t="n"/>
      <c r="G22" s="10" t="inlineStr">
        <is>
          <t>• Pruebas piloto en vivo (recepciones y pedidos reales asistidos por el sistema)</t>
        </is>
      </c>
      <c r="H22" s="6" t="n"/>
      <c r="I22" s="6" t="n"/>
      <c r="J22" s="6" t="n"/>
      <c r="K22" s="6" t="n"/>
    </row>
    <row r="23">
      <c r="A23" s="10" t="inlineStr">
        <is>
          <t>• Entregable: Sistema WMS Core 100% funcional listo para pruebas de laboratorio</t>
        </is>
      </c>
      <c r="B23" s="6" t="n"/>
      <c r="C23" s="6" t="n"/>
      <c r="D23" s="6" t="n"/>
      <c r="E23" s="6" t="n"/>
      <c r="G23" s="10" t="inlineStr">
        <is>
          <t>• Pruebas de Aceptación de Usuario (UAT), Salida Oficial a Producción (Go-Live) y Soporte Hipercare</t>
        </is>
      </c>
      <c r="H23" s="6" t="n"/>
      <c r="I23" s="6" t="n"/>
      <c r="J23" s="6" t="n"/>
      <c r="K23" s="6" t="n"/>
    </row>
    <row r="26">
      <c r="A26" s="3" t="inlineStr">
        <is>
          <t>ESTRUCTURA DE HITOS Y CONDICIONES DE PAGO SEGÚN SOW</t>
        </is>
      </c>
    </row>
    <row r="27">
      <c r="A27" s="11" t="inlineStr">
        <is>
          <t>Hito / Concepto</t>
        </is>
      </c>
      <c r="B27" s="11" t="inlineStr">
        <is>
          <t>Momento / Condición de Pago</t>
        </is>
      </c>
      <c r="C27" s="11" t="inlineStr">
        <is>
          <t>Plazo Estimado</t>
        </is>
      </c>
      <c r="D27" s="11" t="inlineStr">
        <is>
          <t>Importe (MXN)</t>
        </is>
      </c>
      <c r="E27" s="11" t="inlineStr">
        <is>
          <t>% Total</t>
        </is>
      </c>
    </row>
    <row r="28">
      <c r="A28" s="5" t="inlineStr">
        <is>
          <t>1. Anticipo WMS 360+</t>
        </is>
      </c>
      <c r="B28" s="5" t="inlineStr">
        <is>
          <t>Inicio formal del proyecto y movilización del equipo</t>
        </is>
      </c>
      <c r="C28" s="12" t="inlineStr">
        <is>
          <t>Semana 1</t>
        </is>
      </c>
      <c r="D28" s="13" t="n">
        <v>52000</v>
      </c>
      <c r="E28" s="14" t="n">
        <v>0.1793</v>
      </c>
    </row>
    <row r="29">
      <c r="A29" s="5" t="inlineStr">
        <is>
          <t>2. Consultoría y Revalidación</t>
        </is>
      </c>
      <c r="B29" s="5" t="inlineStr">
        <is>
          <t>Finalización de entrevistas con 5 áreas y actas aprobadas</t>
        </is>
      </c>
      <c r="C29" s="12" t="inlineStr">
        <is>
          <t>Semana 4</t>
        </is>
      </c>
      <c r="D29" s="13" t="n">
        <v>30000</v>
      </c>
      <c r="E29" s="14" t="n">
        <v>0.1034</v>
      </c>
    </row>
    <row r="30">
      <c r="A30" s="5" t="inlineStr">
        <is>
          <t>3. Pruebas Funcionales Core</t>
        </is>
      </c>
      <c r="B30" s="5" t="inlineStr">
        <is>
          <t>Entrega de WMS funcional para pruebas de laboratorio</t>
        </is>
      </c>
      <c r="C30" s="12" t="inlineStr">
        <is>
          <t>Semana 12</t>
        </is>
      </c>
      <c r="D30" s="13" t="n">
        <v>52000</v>
      </c>
      <c r="E30" s="14" t="n">
        <v>0.1793</v>
      </c>
    </row>
    <row r="31">
      <c r="A31" s="5" t="inlineStr">
        <is>
          <t>4. Preparación Go-Live en Bodega</t>
        </is>
      </c>
      <c r="B31" s="5" t="inlineStr">
        <is>
          <t>Carga de catálogos maestros, rollout hardware y arranque en frío</t>
        </is>
      </c>
      <c r="C31" s="12" t="inlineStr">
        <is>
          <t>Semana 16</t>
        </is>
      </c>
      <c r="D31" s="13" t="n">
        <v>104000</v>
      </c>
      <c r="E31" s="14" t="n">
        <v>0.3586</v>
      </c>
    </row>
    <row r="32">
      <c r="A32" s="5" t="inlineStr">
        <is>
          <t>5. Aceptación Final y Cierre</t>
        </is>
      </c>
      <c r="B32" s="5" t="inlineStr">
        <is>
          <t>Go-Live oficial al 100%, UAT aprobado y firma de acta</t>
        </is>
      </c>
      <c r="C32" s="12" t="inlineStr">
        <is>
          <t>Semana 24</t>
        </is>
      </c>
      <c r="D32" s="13" t="n">
        <v>52000</v>
      </c>
      <c r="E32" s="14" t="n">
        <v>0.1793</v>
      </c>
    </row>
    <row r="33">
      <c r="A33" s="15" t="inlineStr">
        <is>
          <t>TOTAL PROYECTO (MÁS IVA)</t>
        </is>
      </c>
      <c r="B33" s="16" t="inlineStr"/>
      <c r="C33" s="16" t="inlineStr"/>
      <c r="D33" s="17">
        <f>SUM(D28:D32)</f>
        <v/>
      </c>
      <c r="E33" s="18">
        <f>SUM(E28:E32)</f>
        <v/>
      </c>
    </row>
  </sheetData>
  <mergeCells count="27">
    <mergeCell ref="B9:E9"/>
    <mergeCell ref="G21:K21"/>
    <mergeCell ref="B6:E6"/>
    <mergeCell ref="G23:K23"/>
    <mergeCell ref="G6:K13"/>
    <mergeCell ref="G17:K17"/>
    <mergeCell ref="A16:E16"/>
    <mergeCell ref="B7:E7"/>
    <mergeCell ref="G19:K19"/>
    <mergeCell ref="A18:E18"/>
    <mergeCell ref="G18:K18"/>
    <mergeCell ref="A21:E21"/>
    <mergeCell ref="A3:K3"/>
    <mergeCell ref="B12:E12"/>
    <mergeCell ref="B11:E11"/>
    <mergeCell ref="A23:E23"/>
    <mergeCell ref="A22:E22"/>
    <mergeCell ref="A17:E17"/>
    <mergeCell ref="A1:K2"/>
    <mergeCell ref="B8:E8"/>
    <mergeCell ref="A20:E20"/>
    <mergeCell ref="G20:K20"/>
    <mergeCell ref="B13:E13"/>
    <mergeCell ref="G16:K16"/>
    <mergeCell ref="A19:E19"/>
    <mergeCell ref="B10:E10"/>
    <mergeCell ref="G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42" customWidth="1" min="4" max="4"/>
    <col width="16" customWidth="1" min="5" max="5"/>
    <col width="20" customWidth="1" min="6" max="6"/>
    <col width="9" customWidth="1" min="7" max="7"/>
    <col width="9" customWidth="1" min="8" max="8"/>
    <col width="12" customWidth="1" min="9" max="9"/>
    <col width="12" customWidth="1" min="10" max="10"/>
    <col width="15" customWidth="1" min="11" max="11"/>
    <col width="32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</cols>
  <sheetData>
    <row r="1">
      <c r="A1" s="19" t="inlineStr">
        <is>
          <t>CRONOGRAMA MAESTRO DETALLADO — WMS 360+ FORMATEX (24 SEMANAS / 6 MESES)</t>
        </is>
      </c>
    </row>
    <row r="2">
      <c r="A2" s="20" t="inlineStr">
        <is>
          <t>ID</t>
        </is>
      </c>
      <c r="B2" s="20" t="inlineStr">
        <is>
          <t>Bloque / Mes</t>
        </is>
      </c>
      <c r="C2" s="20" t="inlineStr">
        <is>
          <t>Módulo / Frente</t>
        </is>
      </c>
      <c r="D2" s="20" t="inlineStr">
        <is>
          <t>Actividad / Entregable Específico</t>
        </is>
      </c>
      <c r="E2" s="20" t="inlineStr">
        <is>
          <t>Área Involucrada</t>
        </is>
      </c>
      <c r="F2" s="20" t="inlineStr">
        <is>
          <t>Responsable Principal</t>
        </is>
      </c>
      <c r="G2" s="20" t="inlineStr">
        <is>
          <t>Sem. Ini</t>
        </is>
      </c>
      <c r="H2" s="20" t="inlineStr">
        <is>
          <t>Sem. Fin</t>
        </is>
      </c>
      <c r="I2" s="20" t="inlineStr">
        <is>
          <t>Fecha Inicio</t>
        </is>
      </c>
      <c r="J2" s="20" t="inlineStr">
        <is>
          <t>Fecha Fin</t>
        </is>
      </c>
      <c r="K2" s="20" t="inlineStr">
        <is>
          <t>Estatus</t>
        </is>
      </c>
      <c r="L2" s="20" t="inlineStr">
        <is>
          <t>Entregable / Evidencia</t>
        </is>
      </c>
      <c r="M2" s="21" t="inlineStr">
        <is>
          <t>MES 1: Entrevistas &amp; Base</t>
        </is>
      </c>
      <c r="N2" s="6" t="n"/>
      <c r="O2" s="6" t="n"/>
      <c r="P2" s="6" t="n"/>
      <c r="Q2" s="22" t="inlineStr">
        <is>
          <t>MES 2: Compras &amp; Recepción</t>
        </is>
      </c>
      <c r="R2" s="6" t="n"/>
      <c r="S2" s="6" t="n"/>
      <c r="T2" s="6" t="n"/>
      <c r="U2" s="23" t="inlineStr">
        <is>
          <t>MES 3: Surtido &amp; Facturación</t>
        </is>
      </c>
      <c r="V2" s="6" t="n"/>
      <c r="W2" s="6" t="n"/>
      <c r="X2" s="6" t="n"/>
      <c r="Y2" s="24" t="inlineStr">
        <is>
          <t>MES 4: Hardware &amp; Migración</t>
        </is>
      </c>
      <c r="Z2" s="6" t="n"/>
      <c r="AA2" s="6" t="n"/>
      <c r="AB2" s="6" t="n"/>
      <c r="AC2" s="25" t="inlineStr">
        <is>
          <t>MES 5: Arranque en Frío &amp; Piloto</t>
        </is>
      </c>
      <c r="AD2" s="6" t="n"/>
      <c r="AE2" s="6" t="n"/>
      <c r="AF2" s="6" t="n"/>
      <c r="AG2" s="26" t="inlineStr">
        <is>
          <t>MES 6: UAT &amp; Go-Live Final</t>
        </is>
      </c>
      <c r="AH2" s="6" t="n"/>
      <c r="AI2" s="6" t="n"/>
      <c r="AJ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27" t="inlineStr">
        <is>
          <t>W01</t>
        </is>
      </c>
      <c r="N3" s="27" t="inlineStr">
        <is>
          <t>W02</t>
        </is>
      </c>
      <c r="O3" s="27" t="inlineStr">
        <is>
          <t>W03</t>
        </is>
      </c>
      <c r="P3" s="27" t="inlineStr">
        <is>
          <t>W04</t>
        </is>
      </c>
      <c r="Q3" s="27" t="inlineStr">
        <is>
          <t>W05</t>
        </is>
      </c>
      <c r="R3" s="27" t="inlineStr">
        <is>
          <t>W06</t>
        </is>
      </c>
      <c r="S3" s="27" t="inlineStr">
        <is>
          <t>W07</t>
        </is>
      </c>
      <c r="T3" s="27" t="inlineStr">
        <is>
          <t>W08</t>
        </is>
      </c>
      <c r="U3" s="27" t="inlineStr">
        <is>
          <t>W09</t>
        </is>
      </c>
      <c r="V3" s="27" t="inlineStr">
        <is>
          <t>W10</t>
        </is>
      </c>
      <c r="W3" s="27" t="inlineStr">
        <is>
          <t>W11</t>
        </is>
      </c>
      <c r="X3" s="27" t="inlineStr">
        <is>
          <t>W12</t>
        </is>
      </c>
      <c r="Y3" s="27" t="inlineStr">
        <is>
          <t>W13</t>
        </is>
      </c>
      <c r="Z3" s="27" t="inlineStr">
        <is>
          <t>W14</t>
        </is>
      </c>
      <c r="AA3" s="27" t="inlineStr">
        <is>
          <t>W15</t>
        </is>
      </c>
      <c r="AB3" s="27" t="inlineStr">
        <is>
          <t>W16</t>
        </is>
      </c>
      <c r="AC3" s="27" t="inlineStr">
        <is>
          <t>W17</t>
        </is>
      </c>
      <c r="AD3" s="27" t="inlineStr">
        <is>
          <t>W18</t>
        </is>
      </c>
      <c r="AE3" s="27" t="inlineStr">
        <is>
          <t>W19</t>
        </is>
      </c>
      <c r="AF3" s="27" t="inlineStr">
        <is>
          <t>W20</t>
        </is>
      </c>
      <c r="AG3" s="27" t="inlineStr">
        <is>
          <t>W21</t>
        </is>
      </c>
      <c r="AH3" s="27" t="inlineStr">
        <is>
          <t>W22</t>
        </is>
      </c>
      <c r="AI3" s="27" t="inlineStr">
        <is>
          <t>W23</t>
        </is>
      </c>
      <c r="AJ3" s="27" t="inlineStr">
        <is>
          <t>W24</t>
        </is>
      </c>
    </row>
    <row r="4">
      <c r="A4" s="28" t="inlineStr">
        <is>
          <t>ACT-01</t>
        </is>
      </c>
      <c r="B4" s="28" t="inlineStr">
        <is>
          <t>Mes 1</t>
        </is>
      </c>
      <c r="C4" s="29" t="inlineStr">
        <is>
          <t>Gobernanza</t>
        </is>
      </c>
      <c r="D4" s="29" t="inlineStr">
        <is>
          <t>Kickoff formal del proyecto, firma de SOW y pago de Anticipo</t>
        </is>
      </c>
      <c r="E4" s="29" t="inlineStr">
        <is>
          <t>Dirección / Andrea</t>
        </is>
      </c>
      <c r="F4" s="29" t="inlineStr">
        <is>
          <t>Formatex &amp; Movida TCI</t>
        </is>
      </c>
      <c r="G4" s="28" t="n">
        <v>1</v>
      </c>
      <c r="H4" s="28" t="n">
        <v>1</v>
      </c>
      <c r="I4" s="28" t="inlineStr">
        <is>
          <t>26/10/2026</t>
        </is>
      </c>
      <c r="J4" s="28" t="inlineStr">
        <is>
          <t>30/10/2026</t>
        </is>
      </c>
      <c r="K4" s="30" t="inlineStr">
        <is>
          <t>Hito de Pago</t>
        </is>
      </c>
      <c r="L4" s="29" t="inlineStr">
        <is>
          <t>SOW firmado y anticipo (Hito 1: $52k)</t>
        </is>
      </c>
      <c r="M4" s="31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</row>
    <row r="5">
      <c r="A5" s="28" t="inlineStr">
        <is>
          <t>ACT-02</t>
        </is>
      </c>
      <c r="B5" s="28" t="inlineStr">
        <is>
          <t>Mes 1</t>
        </is>
      </c>
      <c r="C5" s="29" t="inlineStr">
        <is>
          <t>Entrevistas</t>
        </is>
      </c>
      <c r="D5" s="29" t="inlineStr">
        <is>
          <t>Entrevista 1 (Almacén): Recepción rollos, calidades A-D, etiquetado HU y Nave Atlas</t>
        </is>
      </c>
      <c r="E5" s="29" t="inlineStr">
        <is>
          <t>Almacén</t>
        </is>
      </c>
      <c r="F5" s="29" t="inlineStr">
        <is>
          <t>Movida TCI &amp; Jefe Almacén</t>
        </is>
      </c>
      <c r="G5" s="28" t="n">
        <v>1</v>
      </c>
      <c r="H5" s="28" t="n">
        <v>2</v>
      </c>
      <c r="I5" s="28" t="inlineStr">
        <is>
          <t>26/10/2026</t>
        </is>
      </c>
      <c r="J5" s="28" t="inlineStr">
        <is>
          <t>06/11/2026</t>
        </is>
      </c>
      <c r="K5" s="32" t="inlineStr">
        <is>
          <t>En Curso</t>
        </is>
      </c>
      <c r="L5" s="29" t="inlineStr">
        <is>
          <t>Acta de acuerdos de almacén y layout</t>
        </is>
      </c>
      <c r="M5" s="33" t="n"/>
      <c r="N5" s="33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  <c r="AG5" s="34" t="n"/>
      <c r="AH5" s="34" t="n"/>
      <c r="AI5" s="34" t="n"/>
      <c r="AJ5" s="34" t="n"/>
    </row>
    <row r="6">
      <c r="A6" s="28" t="inlineStr">
        <is>
          <t>ACT-03</t>
        </is>
      </c>
      <c r="B6" s="28" t="inlineStr">
        <is>
          <t>Mes 1</t>
        </is>
      </c>
      <c r="C6" s="29" t="inlineStr">
        <is>
          <t>Entrevistas</t>
        </is>
      </c>
      <c r="D6" s="29" t="inlineStr">
        <is>
          <t>Entrevista 2 (ATC / Ventas): Reserva de inventario, tolerancia de corte y catálogo muestrarios</t>
        </is>
      </c>
      <c r="E6" s="29" t="inlineStr">
        <is>
          <t>ATC / Ventas</t>
        </is>
      </c>
      <c r="F6" s="29" t="inlineStr">
        <is>
          <t>Movida TCI &amp; Líder ATC</t>
        </is>
      </c>
      <c r="G6" s="28" t="n">
        <v>2</v>
      </c>
      <c r="H6" s="28" t="n">
        <v>2</v>
      </c>
      <c r="I6" s="28" t="inlineStr">
        <is>
          <t>02/11/2026</t>
        </is>
      </c>
      <c r="J6" s="28" t="inlineStr">
        <is>
          <t>06/11/2026</t>
        </is>
      </c>
      <c r="K6" s="35" t="inlineStr">
        <is>
          <t>Planificado</t>
        </is>
      </c>
      <c r="L6" s="29" t="inlineStr">
        <is>
          <t>Matriz de reglas de reserva y muestrarios</t>
        </is>
      </c>
      <c r="M6" s="6" t="n"/>
      <c r="N6" s="33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</row>
    <row r="7">
      <c r="A7" s="28" t="inlineStr">
        <is>
          <t>ACT-04</t>
        </is>
      </c>
      <c r="B7" s="28" t="inlineStr">
        <is>
          <t>Mes 1</t>
        </is>
      </c>
      <c r="C7" s="29" t="inlineStr">
        <is>
          <t>Entrevistas</t>
        </is>
      </c>
      <c r="D7" s="29" t="inlineStr">
        <is>
          <t>Entrevista 3 (Cobranza / Fact.): CFDI 4.0, remisiones vs facturas, CSFacturación y crédito</t>
        </is>
      </c>
      <c r="E7" s="29" t="inlineStr">
        <is>
          <t>Facturación</t>
        </is>
      </c>
      <c r="F7" s="29" t="inlineStr">
        <is>
          <t>Movida TCI &amp; Contador</t>
        </is>
      </c>
      <c r="G7" s="28" t="n">
        <v>2</v>
      </c>
      <c r="H7" s="28" t="n">
        <v>2</v>
      </c>
      <c r="I7" s="28" t="inlineStr">
        <is>
          <t>02/11/2026</t>
        </is>
      </c>
      <c r="J7" s="28" t="inlineStr">
        <is>
          <t>06/11/2026</t>
        </is>
      </c>
      <c r="K7" s="35" t="inlineStr">
        <is>
          <t>Planificado</t>
        </is>
      </c>
      <c r="L7" s="29" t="inlineStr">
        <is>
          <t>Flujo fiscal y validación de corte</t>
        </is>
      </c>
      <c r="M7" s="34" t="n"/>
      <c r="N7" s="33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  <c r="AG7" s="34" t="n"/>
      <c r="AH7" s="34" t="n"/>
      <c r="AI7" s="34" t="n"/>
      <c r="AJ7" s="34" t="n"/>
    </row>
    <row r="8">
      <c r="A8" s="28" t="inlineStr">
        <is>
          <t>ACT-05</t>
        </is>
      </c>
      <c r="B8" s="28" t="inlineStr">
        <is>
          <t>Mes 1</t>
        </is>
      </c>
      <c r="C8" s="29" t="inlineStr">
        <is>
          <t>Entrevistas</t>
        </is>
      </c>
      <c r="D8" s="29" t="inlineStr">
        <is>
          <t>Entrevista 4 (Compras): OC nacionales/importación, contenedores en tránsito y cotejo factura</t>
        </is>
      </c>
      <c r="E8" s="29" t="inlineStr">
        <is>
          <t>Compras</t>
        </is>
      </c>
      <c r="F8" s="29" t="inlineStr">
        <is>
          <t>Movida TCI &amp; Jefe Compras</t>
        </is>
      </c>
      <c r="G8" s="28" t="n">
        <v>3</v>
      </c>
      <c r="H8" s="28" t="n">
        <v>3</v>
      </c>
      <c r="I8" s="28" t="inlineStr">
        <is>
          <t>09/11/2026</t>
        </is>
      </c>
      <c r="J8" s="28" t="inlineStr">
        <is>
          <t>13/11/2026</t>
        </is>
      </c>
      <c r="K8" s="35" t="inlineStr">
        <is>
          <t>Planificado</t>
        </is>
      </c>
      <c r="L8" s="29" t="inlineStr">
        <is>
          <t>Protocolo de compras y tránsito</t>
        </is>
      </c>
      <c r="M8" s="6" t="n"/>
      <c r="N8" s="6" t="n"/>
      <c r="O8" s="33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</row>
    <row r="9">
      <c r="A9" s="28" t="inlineStr">
        <is>
          <t>ACT-06</t>
        </is>
      </c>
      <c r="B9" s="28" t="inlineStr">
        <is>
          <t>Mes 1</t>
        </is>
      </c>
      <c r="C9" s="29" t="inlineStr">
        <is>
          <t>Entrevistas</t>
        </is>
      </c>
      <c r="D9" s="29" t="inlineStr">
        <is>
          <t>Entrevista 5 (Planeación): Motor Resurtido Formatex Master (S+P+T), 13 meses CONTPAQi</t>
        </is>
      </c>
      <c r="E9" s="29" t="inlineStr">
        <is>
          <t>Planeación</t>
        </is>
      </c>
      <c r="F9" s="29" t="inlineStr">
        <is>
          <t>Movida TCI &amp; Planeación</t>
        </is>
      </c>
      <c r="G9" s="28" t="n">
        <v>3</v>
      </c>
      <c r="H9" s="28" t="n">
        <v>3</v>
      </c>
      <c r="I9" s="28" t="inlineStr">
        <is>
          <t>09/11/2026</t>
        </is>
      </c>
      <c r="J9" s="28" t="inlineStr">
        <is>
          <t>13/11/2026</t>
        </is>
      </c>
      <c r="K9" s="35" t="inlineStr">
        <is>
          <t>Planificado</t>
        </is>
      </c>
      <c r="L9" s="29" t="inlineStr">
        <is>
          <t>Parámetros matemáticos de resurtido</t>
        </is>
      </c>
      <c r="M9" s="34" t="n"/>
      <c r="N9" s="34" t="n"/>
      <c r="O9" s="33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4" t="n"/>
    </row>
    <row r="10">
      <c r="A10" s="28" t="inlineStr">
        <is>
          <t>ACT-07</t>
        </is>
      </c>
      <c r="B10" s="28" t="inlineStr">
        <is>
          <t>Mes 1</t>
        </is>
      </c>
      <c r="C10" s="29" t="inlineStr">
        <is>
          <t>Gobernanza</t>
        </is>
      </c>
      <c r="D10" s="29" t="inlineStr">
        <is>
          <t>Consolidación de Actas de Revalidación y Aprobación de Especificación Funcional</t>
        </is>
      </c>
      <c r="E10" s="29" t="inlineStr">
        <is>
          <t>Dirección / Andrea</t>
        </is>
      </c>
      <c r="F10" s="29" t="inlineStr">
        <is>
          <t>Andrea &amp; Jonathan P.</t>
        </is>
      </c>
      <c r="G10" s="28" t="n">
        <v>4</v>
      </c>
      <c r="H10" s="28" t="n">
        <v>4</v>
      </c>
      <c r="I10" s="28" t="inlineStr">
        <is>
          <t>16/11/2026</t>
        </is>
      </c>
      <c r="J10" s="28" t="inlineStr">
        <is>
          <t>20/11/2026</t>
        </is>
      </c>
      <c r="K10" s="30" t="inlineStr">
        <is>
          <t>Hito de Pago</t>
        </is>
      </c>
      <c r="L10" s="29" t="inlineStr">
        <is>
          <t>Acta formal de Revalidación (Hito 2: $30k)</t>
        </is>
      </c>
      <c r="M10" s="6" t="n"/>
      <c r="N10" s="6" t="n"/>
      <c r="O10" s="6" t="n"/>
      <c r="P10" s="31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</row>
    <row r="11">
      <c r="A11" s="28" t="inlineStr">
        <is>
          <t>ACT-08</t>
        </is>
      </c>
      <c r="B11" s="28" t="inlineStr">
        <is>
          <t>Mes 1</t>
        </is>
      </c>
      <c r="C11" s="29" t="inlineStr">
        <is>
          <t>Arquitectura</t>
        </is>
      </c>
      <c r="D11" s="29" t="inlineStr">
        <is>
          <t>Configuración de entornos Cloud (Supabase, Render, Vercel) y Base de Datos (36 modelos)</t>
        </is>
      </c>
      <c r="E11" s="29" t="inlineStr">
        <is>
          <t>TI / Infraestructura</t>
        </is>
      </c>
      <c r="F11" s="29" t="inlineStr">
        <is>
          <t>Movida TCI</t>
        </is>
      </c>
      <c r="G11" s="28" t="n">
        <v>1</v>
      </c>
      <c r="H11" s="28" t="n">
        <v>4</v>
      </c>
      <c r="I11" s="28" t="inlineStr">
        <is>
          <t>26/10/2026</t>
        </is>
      </c>
      <c r="J11" s="28" t="inlineStr">
        <is>
          <t>20/11/2026</t>
        </is>
      </c>
      <c r="K11" s="36" t="inlineStr">
        <is>
          <t>Prototipado</t>
        </is>
      </c>
      <c r="L11" s="29" t="inlineStr">
        <is>
          <t>Infraestructura CI/CD desplegada</t>
        </is>
      </c>
      <c r="M11" s="33" t="n"/>
      <c r="N11" s="33" t="n"/>
      <c r="O11" s="33" t="n"/>
      <c r="P11" s="33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  <c r="AJ11" s="34" t="n"/>
    </row>
    <row r="12">
      <c r="A12" s="28" t="inlineStr">
        <is>
          <t>ACT-09</t>
        </is>
      </c>
      <c r="B12" s="28" t="inlineStr">
        <is>
          <t>Mes 1</t>
        </is>
      </c>
      <c r="C12" s="29" t="inlineStr">
        <is>
          <t>Catálogos</t>
        </is>
      </c>
      <c r="D12" s="29" t="inlineStr">
        <is>
          <t>Módulo de Catálogos Maestros (SKUs telas, colores, proveedores, clientes, muestrarios)</t>
        </is>
      </c>
      <c r="E12" s="29" t="inlineStr">
        <is>
          <t>Catálogos</t>
        </is>
      </c>
      <c r="F12" s="29" t="inlineStr">
        <is>
          <t>Movida TCI &amp; Formatex</t>
        </is>
      </c>
      <c r="G12" s="28" t="n">
        <v>3</v>
      </c>
      <c r="H12" s="28" t="n">
        <v>4</v>
      </c>
      <c r="I12" s="28" t="inlineStr">
        <is>
          <t>09/11/2026</t>
        </is>
      </c>
      <c r="J12" s="28" t="inlineStr">
        <is>
          <t>20/11/2026</t>
        </is>
      </c>
      <c r="K12" s="36" t="inlineStr">
        <is>
          <t>Prototipado</t>
        </is>
      </c>
      <c r="L12" s="29" t="inlineStr">
        <is>
          <t>Catálogos base navegables</t>
        </is>
      </c>
      <c r="M12" s="6" t="n"/>
      <c r="N12" s="6" t="n"/>
      <c r="O12" s="33" t="n"/>
      <c r="P12" s="33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</row>
    <row r="13">
      <c r="A13" s="28" t="inlineStr">
        <is>
          <t>ACT-10</t>
        </is>
      </c>
      <c r="B13" s="28" t="inlineStr">
        <is>
          <t>Mes 2</t>
        </is>
      </c>
      <c r="C13" s="29" t="inlineStr">
        <is>
          <t>Compras</t>
        </is>
      </c>
      <c r="D13" s="29" t="inlineStr">
        <is>
          <t>Módulo de Compras y Control de Mercancía en Tránsito (Contenedores y tracking)</t>
        </is>
      </c>
      <c r="E13" s="29" t="inlineStr">
        <is>
          <t>Compras</t>
        </is>
      </c>
      <c r="F13" s="29" t="inlineStr">
        <is>
          <t>Movida TCI &amp; Compras</t>
        </is>
      </c>
      <c r="G13" s="28" t="n">
        <v>5</v>
      </c>
      <c r="H13" s="28" t="n">
        <v>6</v>
      </c>
      <c r="I13" s="28" t="inlineStr">
        <is>
          <t>23/11/2026</t>
        </is>
      </c>
      <c r="J13" s="28" t="inlineStr">
        <is>
          <t>04/12/2026</t>
        </is>
      </c>
      <c r="K13" s="36" t="inlineStr">
        <is>
          <t>Prototipado</t>
        </is>
      </c>
      <c r="L13" s="29" t="inlineStr">
        <is>
          <t>Módulo de OC y Tránsito funcional</t>
        </is>
      </c>
      <c r="M13" s="34" t="n"/>
      <c r="N13" s="34" t="n"/>
      <c r="O13" s="34" t="n"/>
      <c r="P13" s="34" t="n"/>
      <c r="Q13" s="33" t="n"/>
      <c r="R13" s="33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</row>
    <row r="14">
      <c r="A14" s="28" t="inlineStr">
        <is>
          <t>ACT-11</t>
        </is>
      </c>
      <c r="B14" s="28" t="inlineStr">
        <is>
          <t>Mes 2</t>
        </is>
      </c>
      <c r="C14" s="29" t="inlineStr">
        <is>
          <t>Almacén</t>
        </is>
      </c>
      <c r="D14" s="29" t="inlineStr">
        <is>
          <t>Módulo de Recepción Asistida y Generación de Etiquetas Térmicas HU por Rollo</t>
        </is>
      </c>
      <c r="E14" s="29" t="inlineStr">
        <is>
          <t>Almacén</t>
        </is>
      </c>
      <c r="F14" s="29" t="inlineStr">
        <is>
          <t>Movida TCI &amp; Almacén</t>
        </is>
      </c>
      <c r="G14" s="28" t="n">
        <v>6</v>
      </c>
      <c r="H14" s="28" t="n">
        <v>7</v>
      </c>
      <c r="I14" s="28" t="inlineStr">
        <is>
          <t>30/11/2026</t>
        </is>
      </c>
      <c r="J14" s="28" t="inlineStr">
        <is>
          <t>11/12/2026</t>
        </is>
      </c>
      <c r="K14" s="36" t="inlineStr">
        <is>
          <t>Prototipado</t>
        </is>
      </c>
      <c r="L14" s="29" t="inlineStr">
        <is>
          <t>Impresión de etiquetas HU en recepción</t>
        </is>
      </c>
      <c r="M14" s="6" t="n"/>
      <c r="N14" s="6" t="n"/>
      <c r="O14" s="6" t="n"/>
      <c r="P14" s="6" t="n"/>
      <c r="Q14" s="6" t="n"/>
      <c r="R14" s="33" t="n"/>
      <c r="S14" s="33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</row>
    <row r="15">
      <c r="A15" s="28" t="inlineStr">
        <is>
          <t>ACT-12</t>
        </is>
      </c>
      <c r="B15" s="28" t="inlineStr">
        <is>
          <t>Mes 2</t>
        </is>
      </c>
      <c r="C15" s="29" t="inlineStr">
        <is>
          <t>Calidad</t>
        </is>
      </c>
      <c r="D15" s="29" t="inlineStr">
        <is>
          <t>Módulo de Calidad de Rollos: Calificación A, B, C, D y Bloqueo Comercial Restringido</t>
        </is>
      </c>
      <c r="E15" s="29" t="inlineStr">
        <is>
          <t>Almacén / Calidad</t>
        </is>
      </c>
      <c r="F15" s="29" t="inlineStr">
        <is>
          <t>Movida TCI &amp; Almacén</t>
        </is>
      </c>
      <c r="G15" s="28" t="n">
        <v>7</v>
      </c>
      <c r="H15" s="28" t="n">
        <v>8</v>
      </c>
      <c r="I15" s="28" t="inlineStr">
        <is>
          <t>07/12/2026</t>
        </is>
      </c>
      <c r="J15" s="28" t="inlineStr">
        <is>
          <t>18/12/2026</t>
        </is>
      </c>
      <c r="K15" s="36" t="inlineStr">
        <is>
          <t>Prototipado</t>
        </is>
      </c>
      <c r="L15" s="29" t="inlineStr">
        <is>
          <t>Lógica de bloqueo comercial probada</t>
        </is>
      </c>
      <c r="M15" s="34" t="n"/>
      <c r="N15" s="34" t="n"/>
      <c r="O15" s="34" t="n"/>
      <c r="P15" s="34" t="n"/>
      <c r="Q15" s="34" t="n"/>
      <c r="R15" s="34" t="n"/>
      <c r="S15" s="33" t="n"/>
      <c r="T15" s="33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</row>
    <row r="16">
      <c r="A16" s="28" t="inlineStr">
        <is>
          <t>ACT-13</t>
        </is>
      </c>
      <c r="B16" s="28" t="inlineStr">
        <is>
          <t>Mes 2</t>
        </is>
      </c>
      <c r="C16" s="29" t="inlineStr">
        <is>
          <t>Móvil PWA</t>
        </is>
      </c>
      <c r="D16" s="29" t="inlineStr">
        <is>
          <t>Adaptación de PWA para terminales Zebra TC22 (Escaneo de código de barras)</t>
        </is>
      </c>
      <c r="E16" s="29" t="inlineStr">
        <is>
          <t>Almacén / TI</t>
        </is>
      </c>
      <c r="F16" s="29" t="inlineStr">
        <is>
          <t>Movida TCI</t>
        </is>
      </c>
      <c r="G16" s="28" t="n">
        <v>6</v>
      </c>
      <c r="H16" s="28" t="n">
        <v>8</v>
      </c>
      <c r="I16" s="28" t="inlineStr">
        <is>
          <t>30/11/2026</t>
        </is>
      </c>
      <c r="J16" s="28" t="inlineStr">
        <is>
          <t>18/12/2026</t>
        </is>
      </c>
      <c r="K16" s="36" t="inlineStr">
        <is>
          <t>Prototipado</t>
        </is>
      </c>
      <c r="L16" s="29" t="inlineStr">
        <is>
          <t>PWA operativa para escaneo en bodega</t>
        </is>
      </c>
      <c r="M16" s="6" t="n"/>
      <c r="N16" s="6" t="n"/>
      <c r="O16" s="6" t="n"/>
      <c r="P16" s="6" t="n"/>
      <c r="Q16" s="6" t="n"/>
      <c r="R16" s="33" t="n"/>
      <c r="S16" s="33" t="n"/>
      <c r="T16" s="33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</row>
    <row r="17">
      <c r="A17" s="28" t="inlineStr">
        <is>
          <t>ACT-14</t>
        </is>
      </c>
      <c r="B17" s="28" t="inlineStr">
        <is>
          <t>Mes 2</t>
        </is>
      </c>
      <c r="C17" s="29" t="inlineStr">
        <is>
          <t>Slotting</t>
        </is>
      </c>
      <c r="D17" s="29" t="inlineStr">
        <is>
          <t>Configuración de Layout Nave Atlas: Pasillos 1-2, Racks 4-6, Niveles 1-2 (Pick) y 3-6 (Altura)</t>
        </is>
      </c>
      <c r="E17" s="29" t="inlineStr">
        <is>
          <t>Almacén</t>
        </is>
      </c>
      <c r="F17" s="29" t="inlineStr">
        <is>
          <t>Movida TCI &amp; Almacén</t>
        </is>
      </c>
      <c r="G17" s="28" t="n">
        <v>7</v>
      </c>
      <c r="H17" s="28" t="n">
        <v>8</v>
      </c>
      <c r="I17" s="28" t="inlineStr">
        <is>
          <t>07/12/2026</t>
        </is>
      </c>
      <c r="J17" s="28" t="inlineStr">
        <is>
          <t>18/12/2026</t>
        </is>
      </c>
      <c r="K17" s="36" t="inlineStr">
        <is>
          <t>Prototipado</t>
        </is>
      </c>
      <c r="L17" s="29" t="inlineStr">
        <is>
          <t>Mapa de ubicaciones físicas activo</t>
        </is>
      </c>
      <c r="M17" s="34" t="n"/>
      <c r="N17" s="34" t="n"/>
      <c r="O17" s="34" t="n"/>
      <c r="P17" s="34" t="n"/>
      <c r="Q17" s="34" t="n"/>
      <c r="R17" s="34" t="n"/>
      <c r="S17" s="33" t="n"/>
      <c r="T17" s="33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</row>
    <row r="18">
      <c r="A18" s="28" t="inlineStr">
        <is>
          <t>ACT-15</t>
        </is>
      </c>
      <c r="B18" s="28" t="inlineStr">
        <is>
          <t>Mes 3</t>
        </is>
      </c>
      <c r="C18" s="29" t="inlineStr">
        <is>
          <t>Ventas / ATC</t>
        </is>
      </c>
      <c r="D18" s="29" t="inlineStr">
        <is>
          <t>Motor de Reservas de Stock (Reservas suaves para ATC y reservas firmes para surtido)</t>
        </is>
      </c>
      <c r="E18" s="29" t="inlineStr">
        <is>
          <t>ATC / Ventas</t>
        </is>
      </c>
      <c r="F18" s="29" t="inlineStr">
        <is>
          <t>Movida TCI &amp; ATC</t>
        </is>
      </c>
      <c r="G18" s="28" t="n">
        <v>9</v>
      </c>
      <c r="H18" s="28" t="n">
        <v>10</v>
      </c>
      <c r="I18" s="28" t="inlineStr">
        <is>
          <t>21/12/2026</t>
        </is>
      </c>
      <c r="J18" s="28" t="inlineStr">
        <is>
          <t>01/01/2027</t>
        </is>
      </c>
      <c r="K18" s="36" t="inlineStr">
        <is>
          <t>Prototipado</t>
        </is>
      </c>
      <c r="L18" s="29" t="inlineStr">
        <is>
          <t>Reglas de reserva activa sin sobreventa</t>
        </is>
      </c>
      <c r="M18" s="6" t="n"/>
      <c r="N18" s="6" t="n"/>
      <c r="O18" s="6" t="n"/>
      <c r="P18" s="6" t="n"/>
      <c r="Q18" s="6" t="n"/>
      <c r="R18" s="6" t="n"/>
      <c r="S18" s="6" t="n"/>
      <c r="T18" s="6" t="n"/>
      <c r="U18" s="33" t="n"/>
      <c r="V18" s="33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</row>
    <row r="19">
      <c r="A19" s="28" t="inlineStr">
        <is>
          <t>ACT-16</t>
        </is>
      </c>
      <c r="B19" s="28" t="inlineStr">
        <is>
          <t>Mes 3</t>
        </is>
      </c>
      <c r="C19" s="29" t="inlineStr">
        <is>
          <t>Almacén</t>
        </is>
      </c>
      <c r="D19" s="29" t="inlineStr">
        <is>
          <t>Módulo de Surtido por Carro ('Burros' metálicos) y Batch Picking multizona</t>
        </is>
      </c>
      <c r="E19" s="29" t="inlineStr">
        <is>
          <t>Almacén</t>
        </is>
      </c>
      <c r="F19" s="29" t="inlineStr">
        <is>
          <t>Movida TCI &amp; Almacén</t>
        </is>
      </c>
      <c r="G19" s="28" t="n">
        <v>9</v>
      </c>
      <c r="H19" s="28" t="n">
        <v>11</v>
      </c>
      <c r="I19" s="28" t="inlineStr">
        <is>
          <t>21/12/2026</t>
        </is>
      </c>
      <c r="J19" s="28" t="inlineStr">
        <is>
          <t>08/01/2027</t>
        </is>
      </c>
      <c r="K19" s="36" t="inlineStr">
        <is>
          <t>Prototipado</t>
        </is>
      </c>
      <c r="L19" s="29" t="inlineStr">
        <is>
          <t>Rutas de recolección optimizadas</t>
        </is>
      </c>
      <c r="M19" s="34" t="n"/>
      <c r="N19" s="34" t="n"/>
      <c r="O19" s="34" t="n"/>
      <c r="P19" s="34" t="n"/>
      <c r="Q19" s="34" t="n"/>
      <c r="R19" s="34" t="n"/>
      <c r="S19" s="34" t="n"/>
      <c r="T19" s="34" t="n"/>
      <c r="U19" s="33" t="n"/>
      <c r="V19" s="33" t="n"/>
      <c r="W19" s="33" t="n"/>
      <c r="X19" s="34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</row>
    <row r="20">
      <c r="A20" s="28" t="inlineStr">
        <is>
          <t>ACT-17</t>
        </is>
      </c>
      <c r="B20" s="28" t="inlineStr">
        <is>
          <t>Mes 3</t>
        </is>
      </c>
      <c r="C20" s="29" t="inlineStr">
        <is>
          <t>Mesas Corte</t>
        </is>
      </c>
      <c r="D20" s="29" t="inlineStr">
        <is>
          <t>Flujo de Mesas de Corte (Mesas 2, 3, 5 con enrolladoras) y Genealogía Rollo Padre/Hijo</t>
        </is>
      </c>
      <c r="E20" s="29" t="inlineStr">
        <is>
          <t>Almacén / Corte</t>
        </is>
      </c>
      <c r="F20" s="29" t="inlineStr">
        <is>
          <t>Movida TCI &amp; Cortadores</t>
        </is>
      </c>
      <c r="G20" s="28" t="n">
        <v>10</v>
      </c>
      <c r="H20" s="28" t="n">
        <v>12</v>
      </c>
      <c r="I20" s="28" t="inlineStr">
        <is>
          <t>28/12/2026</t>
        </is>
      </c>
      <c r="J20" s="28" t="inlineStr">
        <is>
          <t>15/01/2027</t>
        </is>
      </c>
      <c r="K20" s="36" t="inlineStr">
        <is>
          <t>Prototipado</t>
        </is>
      </c>
      <c r="L20" s="29" t="inlineStr">
        <is>
          <t>Pantalla de corte y retazo vivo</t>
        </is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33" t="n"/>
      <c r="W20" s="33" t="n"/>
      <c r="X20" s="33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</row>
    <row r="21">
      <c r="A21" s="28" t="inlineStr">
        <is>
          <t>ACT-18</t>
        </is>
      </c>
      <c r="B21" s="28" t="inlineStr">
        <is>
          <t>Mes 3</t>
        </is>
      </c>
      <c r="C21" s="29" t="inlineStr">
        <is>
          <t>Facturación</t>
        </is>
      </c>
      <c r="D21" s="29" t="inlineStr">
        <is>
          <t>Integración con CSFacturación / Facturapi para timbrado automático CFDI 4.0</t>
        </is>
      </c>
      <c r="E21" s="29" t="inlineStr">
        <is>
          <t>Facturación</t>
        </is>
      </c>
      <c r="F21" s="29" t="inlineStr">
        <is>
          <t>Movida TCI &amp; Facturación</t>
        </is>
      </c>
      <c r="G21" s="28" t="n">
        <v>11</v>
      </c>
      <c r="H21" s="28" t="n">
        <v>12</v>
      </c>
      <c r="I21" s="28" t="inlineStr">
        <is>
          <t>04/01/2027</t>
        </is>
      </c>
      <c r="J21" s="28" t="inlineStr">
        <is>
          <t>15/01/2027</t>
        </is>
      </c>
      <c r="K21" s="36" t="inlineStr">
        <is>
          <t>Prototipado</t>
        </is>
      </c>
      <c r="L21" s="29" t="inlineStr">
        <is>
          <t>Timbrado de factura post-corte funcional</t>
        </is>
      </c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3" t="n"/>
      <c r="X21" s="33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</row>
    <row r="22">
      <c r="A22" s="28" t="inlineStr">
        <is>
          <t>ACT-19</t>
        </is>
      </c>
      <c r="B22" s="28" t="inlineStr">
        <is>
          <t>Mes 3</t>
        </is>
      </c>
      <c r="C22" s="29" t="inlineStr">
        <is>
          <t>Planeación</t>
        </is>
      </c>
      <c r="D22" s="29" t="inlineStr">
        <is>
          <t>Motor de Resurtido Automatizado Formatex Master con ingesta de histórico CONTPAQi</t>
        </is>
      </c>
      <c r="E22" s="29" t="inlineStr">
        <is>
          <t>Planeación</t>
        </is>
      </c>
      <c r="F22" s="29" t="inlineStr">
        <is>
          <t>Movida TCI &amp; Planeación</t>
        </is>
      </c>
      <c r="G22" s="28" t="n">
        <v>11</v>
      </c>
      <c r="H22" s="28" t="n">
        <v>12</v>
      </c>
      <c r="I22" s="28" t="inlineStr">
        <is>
          <t>04/01/2027</t>
        </is>
      </c>
      <c r="J22" s="28" t="inlineStr">
        <is>
          <t>15/01/2027</t>
        </is>
      </c>
      <c r="K22" s="36" t="inlineStr">
        <is>
          <t>Prototipado</t>
        </is>
      </c>
      <c r="L22" s="29" t="inlineStr">
        <is>
          <t>Algoritmo de compras sugeridas activo</t>
        </is>
      </c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33" t="n"/>
      <c r="X22" s="33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</row>
    <row r="23">
      <c r="A23" s="28" t="inlineStr">
        <is>
          <t>ACT-20</t>
        </is>
      </c>
      <c r="B23" s="28" t="inlineStr">
        <is>
          <t>Mes 3</t>
        </is>
      </c>
      <c r="C23" s="29" t="inlineStr">
        <is>
          <t>Gobernanza</t>
        </is>
      </c>
      <c r="D23" s="29" t="inlineStr">
        <is>
          <t>Entrega y Demostración de WMS Core Completo para Pruebas de Laboratorio</t>
        </is>
      </c>
      <c r="E23" s="29" t="inlineStr">
        <is>
          <t>Dirección / Andrea</t>
        </is>
      </c>
      <c r="F23" s="29" t="inlineStr">
        <is>
          <t>Andrea &amp; Jonathan P.</t>
        </is>
      </c>
      <c r="G23" s="28" t="n">
        <v>12</v>
      </c>
      <c r="H23" s="28" t="n">
        <v>12</v>
      </c>
      <c r="I23" s="28" t="inlineStr">
        <is>
          <t>11/01/2027</t>
        </is>
      </c>
      <c r="J23" s="28" t="inlineStr">
        <is>
          <t>15/01/2027</t>
        </is>
      </c>
      <c r="K23" s="30" t="inlineStr">
        <is>
          <t>Hito de Pago</t>
        </is>
      </c>
      <c r="L23" s="29" t="inlineStr">
        <is>
          <t>WMS Core Aprobado (Hito 3: $52k)</t>
        </is>
      </c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1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</row>
    <row r="24">
      <c r="A24" s="28" t="inlineStr">
        <is>
          <t>ACT-21</t>
        </is>
      </c>
      <c r="B24" s="28" t="inlineStr">
        <is>
          <t>Mes 4</t>
        </is>
      </c>
      <c r="C24" s="29" t="inlineStr">
        <is>
          <t>Hardware</t>
        </is>
      </c>
      <c r="D24" s="29" t="inlineStr">
        <is>
          <t>Auditoría de red Wi-Fi en Nave Atlas, adquisición y configuración de Zebra TC22 e impresoras</t>
        </is>
      </c>
      <c r="E24" s="29" t="inlineStr">
        <is>
          <t>TI / Almacén</t>
        </is>
      </c>
      <c r="F24" s="29" t="inlineStr">
        <is>
          <t>Formatex TI &amp; Movida TCI</t>
        </is>
      </c>
      <c r="G24" s="28" t="n">
        <v>13</v>
      </c>
      <c r="H24" s="28" t="n">
        <v>14</v>
      </c>
      <c r="I24" s="28" t="inlineStr">
        <is>
          <t>18/01/2027</t>
        </is>
      </c>
      <c r="J24" s="28" t="inlineStr">
        <is>
          <t>29/01/2027</t>
        </is>
      </c>
      <c r="K24" s="35" t="inlineStr">
        <is>
          <t>Planificado</t>
        </is>
      </c>
      <c r="L24" s="29" t="inlineStr">
        <is>
          <t>Dispositivos Zebra y térmicas listas</t>
        </is>
      </c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37" t="n"/>
      <c r="Z24" s="37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</row>
    <row r="25">
      <c r="A25" s="28" t="inlineStr">
        <is>
          <t>ACT-22</t>
        </is>
      </c>
      <c r="B25" s="28" t="inlineStr">
        <is>
          <t>Mes 4</t>
        </is>
      </c>
      <c r="C25" s="29" t="inlineStr">
        <is>
          <t>Infraestructura</t>
        </is>
      </c>
      <c r="D25" s="29" t="inlineStr">
        <is>
          <t>Rotulación física de pasillos, racks y niveles 1 al 6 en bodega según estándar WMS</t>
        </is>
      </c>
      <c r="E25" s="29" t="inlineStr">
        <is>
          <t>Almacén</t>
        </is>
      </c>
      <c r="F25" s="29" t="inlineStr">
        <is>
          <t>Jefe Almacén &amp; Equipo</t>
        </is>
      </c>
      <c r="G25" s="28" t="n">
        <v>13</v>
      </c>
      <c r="H25" s="28" t="n">
        <v>15</v>
      </c>
      <c r="I25" s="28" t="inlineStr">
        <is>
          <t>18/01/2027</t>
        </is>
      </c>
      <c r="J25" s="28" t="inlineStr">
        <is>
          <t>05/02/2027</t>
        </is>
      </c>
      <c r="K25" s="35" t="inlineStr">
        <is>
          <t>Planificado</t>
        </is>
      </c>
      <c r="L25" s="29" t="inlineStr">
        <is>
          <t>Nave Atlas 100% etiquetada</t>
        </is>
      </c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7" t="n"/>
      <c r="Z25" s="37" t="n"/>
      <c r="AA25" s="37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</row>
    <row r="26">
      <c r="A26" s="28" t="inlineStr">
        <is>
          <t>ACT-23</t>
        </is>
      </c>
      <c r="B26" s="28" t="inlineStr">
        <is>
          <t>Mes 4</t>
        </is>
      </c>
      <c r="C26" s="29" t="inlineStr">
        <is>
          <t>Migración</t>
        </is>
      </c>
      <c r="D26" s="29" t="inlineStr">
        <is>
          <t>Extracción, depuración y carga masiva de Catálogo Maestro e Histórico CONTPAQi</t>
        </is>
      </c>
      <c r="E26" s="29" t="inlineStr">
        <is>
          <t>TI / Planeación</t>
        </is>
      </c>
      <c r="F26" s="29" t="inlineStr">
        <is>
          <t>Movida TCI &amp; TI Formatex</t>
        </is>
      </c>
      <c r="G26" s="28" t="n">
        <v>14</v>
      </c>
      <c r="H26" s="28" t="n">
        <v>16</v>
      </c>
      <c r="I26" s="28" t="inlineStr">
        <is>
          <t>25/01/2027</t>
        </is>
      </c>
      <c r="J26" s="28" t="inlineStr">
        <is>
          <t>12/02/2027</t>
        </is>
      </c>
      <c r="K26" s="35" t="inlineStr">
        <is>
          <t>Planificado</t>
        </is>
      </c>
      <c r="L26" s="29" t="inlineStr">
        <is>
          <t>Base de datos poblada con data real</t>
        </is>
      </c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37" t="n"/>
      <c r="AA26" s="37" t="n"/>
      <c r="AB26" s="37" t="n"/>
      <c r="AC26" s="6" t="n"/>
      <c r="AD26" s="6" t="n"/>
      <c r="AE26" s="6" t="n"/>
      <c r="AF26" s="6" t="n"/>
      <c r="AG26" s="6" t="n"/>
      <c r="AH26" s="6" t="n"/>
      <c r="AI26" s="6" t="n"/>
      <c r="AJ26" s="6" t="n"/>
    </row>
    <row r="27">
      <c r="A27" s="28" t="inlineStr">
        <is>
          <t>ACT-24</t>
        </is>
      </c>
      <c r="B27" s="28" t="inlineStr">
        <is>
          <t>Mes 4</t>
        </is>
      </c>
      <c r="C27" s="29" t="inlineStr">
        <is>
          <t>Pruebas</t>
        </is>
      </c>
      <c r="D27" s="29" t="inlineStr">
        <is>
          <t>Pruebas integrales de ciclo completo en ambiente Sandbox (OC -&gt; Recibo -&gt; Corte -&gt; Factura)</t>
        </is>
      </c>
      <c r="E27" s="29" t="inlineStr">
        <is>
          <t>Todas las Áreas</t>
        </is>
      </c>
      <c r="F27" s="29" t="inlineStr">
        <is>
          <t>Movida TCI &amp; Usuarios Clave</t>
        </is>
      </c>
      <c r="G27" s="28" t="n">
        <v>15</v>
      </c>
      <c r="H27" s="28" t="n">
        <v>16</v>
      </c>
      <c r="I27" s="28" t="inlineStr">
        <is>
          <t>01/02/2027</t>
        </is>
      </c>
      <c r="J27" s="28" t="inlineStr">
        <is>
          <t>12/02/2027</t>
        </is>
      </c>
      <c r="K27" s="35" t="inlineStr">
        <is>
          <t>Planificado</t>
        </is>
      </c>
      <c r="L27" s="29" t="inlineStr">
        <is>
          <t>Matriz de pruebas sandbox completada</t>
        </is>
      </c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7" t="n"/>
      <c r="AB27" s="37" t="n"/>
      <c r="AC27" s="34" t="n"/>
      <c r="AD27" s="34" t="n"/>
      <c r="AE27" s="34" t="n"/>
      <c r="AF27" s="34" t="n"/>
      <c r="AG27" s="34" t="n"/>
      <c r="AH27" s="34" t="n"/>
      <c r="AI27" s="34" t="n"/>
      <c r="AJ27" s="34" t="n"/>
    </row>
    <row r="28">
      <c r="A28" s="28" t="inlineStr">
        <is>
          <t>ACT-25</t>
        </is>
      </c>
      <c r="B28" s="28" t="inlineStr">
        <is>
          <t>Mes 4</t>
        </is>
      </c>
      <c r="C28" s="29" t="inlineStr">
        <is>
          <t>Gobernanza</t>
        </is>
      </c>
      <c r="D28" s="29" t="inlineStr">
        <is>
          <t>Aprobación de Preparación de Bodega y Autorización de Arranque en Frío</t>
        </is>
      </c>
      <c r="E28" s="29" t="inlineStr">
        <is>
          <t>Dirección / Andrea</t>
        </is>
      </c>
      <c r="F28" s="29" t="inlineStr">
        <is>
          <t>Andrea &amp; Jonathan P.</t>
        </is>
      </c>
      <c r="G28" s="28" t="n">
        <v>16</v>
      </c>
      <c r="H28" s="28" t="n">
        <v>16</v>
      </c>
      <c r="I28" s="28" t="inlineStr">
        <is>
          <t>08/02/2027</t>
        </is>
      </c>
      <c r="J28" s="28" t="inlineStr">
        <is>
          <t>12/02/2027</t>
        </is>
      </c>
      <c r="K28" s="30" t="inlineStr">
        <is>
          <t>Hito de Pago</t>
        </is>
      </c>
      <c r="L28" s="29" t="inlineStr">
        <is>
          <t>Visto Bueno Arranque (Hito 4: $104k)</t>
        </is>
      </c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31" t="n"/>
      <c r="AC28" s="6" t="n"/>
      <c r="AD28" s="6" t="n"/>
      <c r="AE28" s="6" t="n"/>
      <c r="AF28" s="6" t="n"/>
      <c r="AG28" s="6" t="n"/>
      <c r="AH28" s="6" t="n"/>
      <c r="AI28" s="6" t="n"/>
      <c r="AJ28" s="6" t="n"/>
    </row>
    <row r="29">
      <c r="A29" s="28" t="inlineStr">
        <is>
          <t>ACT-26</t>
        </is>
      </c>
      <c r="B29" s="28" t="inlineStr">
        <is>
          <t>Mes 5</t>
        </is>
      </c>
      <c r="C29" s="29" t="inlineStr">
        <is>
          <t>Implementación</t>
        </is>
      </c>
      <c r="D29" s="29" t="inlineStr">
        <is>
          <t>Despliegue operativo de 'Arranque en Frío Cero Paros': Delimitación Zona Blanca vs Zona Gris</t>
        </is>
      </c>
      <c r="E29" s="29" t="inlineStr">
        <is>
          <t>Almacén</t>
        </is>
      </c>
      <c r="F29" s="29" t="inlineStr">
        <is>
          <t>Movida TCI &amp; Almacén</t>
        </is>
      </c>
      <c r="G29" s="28" t="n">
        <v>17</v>
      </c>
      <c r="H29" s="28" t="n">
        <v>17</v>
      </c>
      <c r="I29" s="28" t="inlineStr">
        <is>
          <t>15/02/2027</t>
        </is>
      </c>
      <c r="J29" s="28" t="inlineStr">
        <is>
          <t>19/02/2027</t>
        </is>
      </c>
      <c r="K29" s="35" t="inlineStr">
        <is>
          <t>Planificado</t>
        </is>
      </c>
      <c r="L29" s="29" t="inlineStr">
        <is>
          <t>Zona Blanca delimitada y activa</t>
        </is>
      </c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  <c r="AA29" s="34" t="n"/>
      <c r="AB29" s="34" t="n"/>
      <c r="AC29" s="37" t="n"/>
      <c r="AD29" s="34" t="n"/>
      <c r="AE29" s="34" t="n"/>
      <c r="AF29" s="34" t="n"/>
      <c r="AG29" s="34" t="n"/>
      <c r="AH29" s="34" t="n"/>
      <c r="AI29" s="34" t="n"/>
      <c r="AJ29" s="34" t="n"/>
    </row>
    <row r="30">
      <c r="A30" s="28" t="inlineStr">
        <is>
          <t>ACT-27</t>
        </is>
      </c>
      <c r="B30" s="28" t="inlineStr">
        <is>
          <t>Mes 5</t>
        </is>
      </c>
      <c r="C30" s="29" t="inlineStr">
        <is>
          <t>Capacitación</t>
        </is>
      </c>
      <c r="D30" s="29" t="inlineStr">
        <is>
          <t>Capacitación en piso a operadores de almacén: uso de Zebra TC22, recepción y corte</t>
        </is>
      </c>
      <c r="E30" s="29" t="inlineStr">
        <is>
          <t>Almacén</t>
        </is>
      </c>
      <c r="F30" s="29" t="inlineStr">
        <is>
          <t>Movida TCI &amp; Operadores</t>
        </is>
      </c>
      <c r="G30" s="28" t="n">
        <v>17</v>
      </c>
      <c r="H30" s="28" t="n">
        <v>18</v>
      </c>
      <c r="I30" s="28" t="inlineStr">
        <is>
          <t>15/02/2027</t>
        </is>
      </c>
      <c r="J30" s="28" t="inlineStr">
        <is>
          <t>26/02/2027</t>
        </is>
      </c>
      <c r="K30" s="35" t="inlineStr">
        <is>
          <t>Planificado</t>
        </is>
      </c>
      <c r="L30" s="29" t="inlineStr">
        <is>
          <t>Personal de almacén certificado</t>
        </is>
      </c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37" t="n"/>
      <c r="AD30" s="37" t="n"/>
      <c r="AE30" s="6" t="n"/>
      <c r="AF30" s="6" t="n"/>
      <c r="AG30" s="6" t="n"/>
      <c r="AH30" s="6" t="n"/>
      <c r="AI30" s="6" t="n"/>
      <c r="AJ30" s="6" t="n"/>
    </row>
    <row r="31">
      <c r="A31" s="28" t="inlineStr">
        <is>
          <t>ACT-28</t>
        </is>
      </c>
      <c r="B31" s="28" t="inlineStr">
        <is>
          <t>Mes 5</t>
        </is>
      </c>
      <c r="C31" s="29" t="inlineStr">
        <is>
          <t>Capacitación</t>
        </is>
      </c>
      <c r="D31" s="29" t="inlineStr">
        <is>
          <t>Capacitación a usuarios administrativos (ATC, Compras, Facturación, Planeación)</t>
        </is>
      </c>
      <c r="E31" s="29" t="inlineStr">
        <is>
          <t>Admin / Ventas</t>
        </is>
      </c>
      <c r="F31" s="29" t="inlineStr">
        <is>
          <t>Movida TCI &amp; Usuarios Admin</t>
        </is>
      </c>
      <c r="G31" s="28" t="n">
        <v>18</v>
      </c>
      <c r="H31" s="28" t="n">
        <v>19</v>
      </c>
      <c r="I31" s="28" t="inlineStr">
        <is>
          <t>22/02/2027</t>
        </is>
      </c>
      <c r="J31" s="28" t="inlineStr">
        <is>
          <t>05/03/2027</t>
        </is>
      </c>
      <c r="K31" s="35" t="inlineStr">
        <is>
          <t>Planificado</t>
        </is>
      </c>
      <c r="L31" s="29" t="inlineStr">
        <is>
          <t>Personal administrativo certificado</t>
        </is>
      </c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7" t="n"/>
      <c r="AE31" s="37" t="n"/>
      <c r="AF31" s="34" t="n"/>
      <c r="AG31" s="34" t="n"/>
      <c r="AH31" s="34" t="n"/>
      <c r="AI31" s="34" t="n"/>
      <c r="AJ31" s="34" t="n"/>
    </row>
    <row r="32">
      <c r="A32" s="28" t="inlineStr">
        <is>
          <t>ACT-29</t>
        </is>
      </c>
      <c r="B32" s="28" t="inlineStr">
        <is>
          <t>Mes 5</t>
        </is>
      </c>
      <c r="C32" s="29" t="inlineStr">
        <is>
          <t>Operación Piloto</t>
        </is>
      </c>
      <c r="D32" s="29" t="inlineStr">
        <is>
          <t>Entrada en operación real: 100% de nuevas compras recibidas y etiquetadas en Zona Blanca</t>
        </is>
      </c>
      <c r="E32" s="29" t="inlineStr">
        <is>
          <t>Almacén / Compras</t>
        </is>
      </c>
      <c r="F32" s="29" t="inlineStr">
        <is>
          <t>Almacén &amp; Compras</t>
        </is>
      </c>
      <c r="G32" s="28" t="n">
        <v>18</v>
      </c>
      <c r="H32" s="28" t="n">
        <v>20</v>
      </c>
      <c r="I32" s="28" t="inlineStr">
        <is>
          <t>22/02/2027</t>
        </is>
      </c>
      <c r="J32" s="28" t="inlineStr">
        <is>
          <t>12/03/2027</t>
        </is>
      </c>
      <c r="K32" s="35" t="inlineStr">
        <is>
          <t>Planificado</t>
        </is>
      </c>
      <c r="L32" s="29" t="inlineStr">
        <is>
          <t>Nuevos rollos 100% trazables en WMS</t>
        </is>
      </c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37" t="n"/>
      <c r="AE32" s="37" t="n"/>
      <c r="AF32" s="37" t="n"/>
      <c r="AG32" s="6" t="n"/>
      <c r="AH32" s="6" t="n"/>
      <c r="AI32" s="6" t="n"/>
      <c r="AJ32" s="6" t="n"/>
    </row>
    <row r="33">
      <c r="A33" s="28" t="inlineStr">
        <is>
          <t>ACT-30</t>
        </is>
      </c>
      <c r="B33" s="28" t="inlineStr">
        <is>
          <t>Mes 5</t>
        </is>
      </c>
      <c r="C33" s="29" t="inlineStr">
        <is>
          <t>Operación Piloto</t>
        </is>
      </c>
      <c r="D33" s="29" t="inlineStr">
        <is>
          <t>Surtido y corte de pedidos reales desde Zona Blanca asistidos por Zebra TC22</t>
        </is>
      </c>
      <c r="E33" s="29" t="inlineStr">
        <is>
          <t>Almacén / ATC</t>
        </is>
      </c>
      <c r="F33" s="29" t="inlineStr">
        <is>
          <t>Almacén &amp; ATC</t>
        </is>
      </c>
      <c r="G33" s="28" t="n">
        <v>19</v>
      </c>
      <c r="H33" s="28" t="n">
        <v>20</v>
      </c>
      <c r="I33" s="28" t="inlineStr">
        <is>
          <t>01/03/2027</t>
        </is>
      </c>
      <c r="J33" s="28" t="inlineStr">
        <is>
          <t>12/03/2027</t>
        </is>
      </c>
      <c r="K33" s="35" t="inlineStr">
        <is>
          <t>Planificado</t>
        </is>
      </c>
      <c r="L33" s="29" t="inlineStr">
        <is>
          <t>Pedidos reales surtidos con WMS</t>
        </is>
      </c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  <c r="AD33" s="34" t="n"/>
      <c r="AE33" s="37" t="n"/>
      <c r="AF33" s="37" t="n"/>
      <c r="AG33" s="34" t="n"/>
      <c r="AH33" s="34" t="n"/>
      <c r="AI33" s="34" t="n"/>
      <c r="AJ33" s="34" t="n"/>
    </row>
    <row r="34">
      <c r="A34" s="28" t="inlineStr">
        <is>
          <t>ACT-31</t>
        </is>
      </c>
      <c r="B34" s="28" t="inlineStr">
        <is>
          <t>Mes 6</t>
        </is>
      </c>
      <c r="C34" s="29" t="inlineStr">
        <is>
          <t>UAT Formal</t>
        </is>
      </c>
      <c r="D34" s="29" t="inlineStr">
        <is>
          <t>Ejecución de Pruebas de Aceptación de Usuario (UAT) formales con las 5 áreas clave</t>
        </is>
      </c>
      <c r="E34" s="29" t="inlineStr">
        <is>
          <t>Todas las Áreas</t>
        </is>
      </c>
      <c r="F34" s="29" t="inlineStr">
        <is>
          <t>Andrea &amp; Usuarios Clave</t>
        </is>
      </c>
      <c r="G34" s="28" t="n">
        <v>21</v>
      </c>
      <c r="H34" s="28" t="n">
        <v>22</v>
      </c>
      <c r="I34" s="28" t="inlineStr">
        <is>
          <t>15/03/2027</t>
        </is>
      </c>
      <c r="J34" s="28" t="inlineStr">
        <is>
          <t>26/03/2027</t>
        </is>
      </c>
      <c r="K34" s="35" t="inlineStr">
        <is>
          <t>Planificado</t>
        </is>
      </c>
      <c r="L34" s="29" t="inlineStr">
        <is>
          <t>Actas UAT firmadas por área</t>
        </is>
      </c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37" t="n"/>
      <c r="AH34" s="37" t="n"/>
      <c r="AI34" s="6" t="n"/>
      <c r="AJ34" s="6" t="n"/>
    </row>
    <row r="35">
      <c r="A35" s="28" t="inlineStr">
        <is>
          <t>ACT-32</t>
        </is>
      </c>
      <c r="B35" s="28" t="inlineStr">
        <is>
          <t>Mes 6</t>
        </is>
      </c>
      <c r="C35" s="29" t="inlineStr">
        <is>
          <t>Transición</t>
        </is>
      </c>
      <c r="D35" s="29" t="inlineStr">
        <is>
          <t>Etiquetado e incorporación acelerada de rollos remanentes de Zona Gris a Zona Blanca</t>
        </is>
      </c>
      <c r="E35" s="29" t="inlineStr">
        <is>
          <t>Almacén</t>
        </is>
      </c>
      <c r="F35" s="29" t="inlineStr">
        <is>
          <t>Jefe Almacén &amp; Champion</t>
        </is>
      </c>
      <c r="G35" s="28" t="n">
        <v>21</v>
      </c>
      <c r="H35" s="28" t="n">
        <v>23</v>
      </c>
      <c r="I35" s="28" t="inlineStr">
        <is>
          <t>15/03/2027</t>
        </is>
      </c>
      <c r="J35" s="28" t="inlineStr">
        <is>
          <t>02/04/2027</t>
        </is>
      </c>
      <c r="K35" s="35" t="inlineStr">
        <is>
          <t>Planificado</t>
        </is>
      </c>
      <c r="L35" s="29" t="inlineStr">
        <is>
          <t>Almacén al 95%+ bajo Zona Blanca</t>
        </is>
      </c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7" t="n"/>
      <c r="AH35" s="37" t="n"/>
      <c r="AI35" s="37" t="n"/>
      <c r="AJ35" s="34" t="n"/>
    </row>
    <row r="36">
      <c r="A36" s="28" t="inlineStr">
        <is>
          <t>ACT-33</t>
        </is>
      </c>
      <c r="B36" s="28" t="inlineStr">
        <is>
          <t>Mes 6</t>
        </is>
      </c>
      <c r="C36" s="29" t="inlineStr">
        <is>
          <t>Go-Live</t>
        </is>
      </c>
      <c r="D36" s="29" t="inlineStr">
        <is>
          <t>Salida Oficial a Producción 100% del WMS en Nave Atlas (Desactivación Zona Gris)</t>
        </is>
      </c>
      <c r="E36" s="29" t="inlineStr">
        <is>
          <t>Dirección / Operación</t>
        </is>
      </c>
      <c r="F36" s="29" t="inlineStr">
        <is>
          <t>Dirección Formatex</t>
        </is>
      </c>
      <c r="G36" s="28" t="n">
        <v>23</v>
      </c>
      <c r="H36" s="28" t="n">
        <v>23</v>
      </c>
      <c r="I36" s="28" t="inlineStr">
        <is>
          <t>29/03/2027</t>
        </is>
      </c>
      <c r="J36" s="28" t="inlineStr">
        <is>
          <t>02/04/2027</t>
        </is>
      </c>
      <c r="K36" s="30" t="inlineStr">
        <is>
          <t>Hito Clave</t>
        </is>
      </c>
      <c r="L36" s="29" t="inlineStr">
        <is>
          <t>Go-Live 100% alcanzado</t>
        </is>
      </c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31" t="n"/>
      <c r="AJ36" s="6" t="n"/>
    </row>
    <row r="37">
      <c r="A37" s="28" t="inlineStr">
        <is>
          <t>ACT-34</t>
        </is>
      </c>
      <c r="B37" s="28" t="inlineStr">
        <is>
          <t>Mes 6</t>
        </is>
      </c>
      <c r="C37" s="29" t="inlineStr">
        <is>
          <t>Hipercare</t>
        </is>
      </c>
      <c r="D37" s="29" t="inlineStr">
        <is>
          <t>Soporte intensivo post-arranque en piso y monitoreo fino de transacciones (Hypercare)</t>
        </is>
      </c>
      <c r="E37" s="29" t="inlineStr">
        <is>
          <t>Todas las Áreas</t>
        </is>
      </c>
      <c r="F37" s="29" t="inlineStr">
        <is>
          <t>Movida TCI</t>
        </is>
      </c>
      <c r="G37" s="28" t="n">
        <v>23</v>
      </c>
      <c r="H37" s="28" t="n">
        <v>24</v>
      </c>
      <c r="I37" s="28" t="inlineStr">
        <is>
          <t>29/03/2027</t>
        </is>
      </c>
      <c r="J37" s="28" t="inlineStr">
        <is>
          <t>09/04/2027</t>
        </is>
      </c>
      <c r="K37" s="35" t="inlineStr">
        <is>
          <t>Planificado</t>
        </is>
      </c>
      <c r="L37" s="29" t="inlineStr">
        <is>
          <t>Estabilidad operativa garantizada</t>
        </is>
      </c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  <c r="AA37" s="34" t="n"/>
      <c r="AB37" s="34" t="n"/>
      <c r="AC37" s="34" t="n"/>
      <c r="AD37" s="34" t="n"/>
      <c r="AE37" s="34" t="n"/>
      <c r="AF37" s="34" t="n"/>
      <c r="AG37" s="34" t="n"/>
      <c r="AH37" s="34" t="n"/>
      <c r="AI37" s="37" t="n"/>
      <c r="AJ37" s="37" t="n"/>
    </row>
    <row r="38">
      <c r="A38" s="28" t="inlineStr">
        <is>
          <t>ACT-35</t>
        </is>
      </c>
      <c r="B38" s="28" t="inlineStr">
        <is>
          <t>Mes 6</t>
        </is>
      </c>
      <c r="C38" s="29" t="inlineStr">
        <is>
          <t>Cierre</t>
        </is>
      </c>
      <c r="D38" s="29" t="inlineStr">
        <is>
          <t>Firma de Acta de Aceptación Definitiva y Entrega de Memoria Técnica de Cierre</t>
        </is>
      </c>
      <c r="E38" s="29" t="inlineStr">
        <is>
          <t>Dirección / Andrea</t>
        </is>
      </c>
      <c r="F38" s="29" t="inlineStr">
        <is>
          <t>Andrea &amp; Jonathan P.</t>
        </is>
      </c>
      <c r="G38" s="28" t="n">
        <v>24</v>
      </c>
      <c r="H38" s="28" t="n">
        <v>24</v>
      </c>
      <c r="I38" s="28" t="inlineStr">
        <is>
          <t>05/04/2027</t>
        </is>
      </c>
      <c r="J38" s="28" t="inlineStr">
        <is>
          <t>09/04/2027</t>
        </is>
      </c>
      <c r="K38" s="30" t="inlineStr">
        <is>
          <t>Hito de Pago</t>
        </is>
      </c>
      <c r="L38" s="29" t="inlineStr">
        <is>
          <t>Cierre y Finiquito (Hito 5: $52k)</t>
        </is>
      </c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31" t="n"/>
    </row>
  </sheetData>
  <mergeCells count="19">
    <mergeCell ref="B2:B3"/>
    <mergeCell ref="Q2:T2"/>
    <mergeCell ref="D2:D3"/>
    <mergeCell ref="AC2:AF2"/>
    <mergeCell ref="F2:F3"/>
    <mergeCell ref="H2:H3"/>
    <mergeCell ref="A2:A3"/>
    <mergeCell ref="C2:C3"/>
    <mergeCell ref="E2:E3"/>
    <mergeCell ref="K2:K3"/>
    <mergeCell ref="U2:X2"/>
    <mergeCell ref="M2:P2"/>
    <mergeCell ref="Y2:AB2"/>
    <mergeCell ref="AG2:AJ2"/>
    <mergeCell ref="J2:J3"/>
    <mergeCell ref="L2:L3"/>
    <mergeCell ref="G2:G3"/>
    <mergeCell ref="I2:I3"/>
    <mergeCell ref="A1:A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36" customWidth="1" min="4" max="4"/>
    <col width="32" customWidth="1" min="5" max="5"/>
    <col width="45" customWidth="1" min="6" max="6"/>
    <col width="30" customWidth="1" min="7" max="7"/>
  </cols>
  <sheetData>
    <row r="1">
      <c r="A1" s="19" t="inlineStr">
        <is>
          <t>PROGRAMA DE ENTREVISTAS POR VIDEOLLAMADA — REVALIDACIÓN FUNCIONAL WMS</t>
        </is>
      </c>
    </row>
    <row r="2">
      <c r="A2" s="38" t="inlineStr">
        <is>
          <t>OBJETIVO: Revalidar procesos reales con cada área clave utilizando el prototipo interactivo para asegurar cero reprocesos en desarrollo</t>
        </is>
      </c>
    </row>
    <row r="4">
      <c r="A4" s="39" t="inlineStr">
        <is>
          <t>Sesión / Área</t>
        </is>
      </c>
      <c r="B4" s="39" t="inlineStr">
        <is>
          <t>Semana / Duración</t>
        </is>
      </c>
      <c r="C4" s="39" t="inlineStr">
        <is>
          <t>Participantes Clave</t>
        </is>
      </c>
      <c r="D4" s="39" t="inlineStr">
        <is>
          <t>Objetivo de la Sesión</t>
        </is>
      </c>
      <c r="E4" s="39" t="inlineStr">
        <is>
          <t>Flujo a Demostrar en Prototipo</t>
        </is>
      </c>
      <c r="F4" s="39" t="inlineStr">
        <is>
          <t>Preguntas Críticas a Resolver</t>
        </is>
      </c>
      <c r="G4" s="39" t="inlineStr">
        <is>
          <t>Entregable / Acta</t>
        </is>
      </c>
    </row>
    <row r="5">
      <c r="A5" s="40" t="inlineStr">
        <is>
          <t>ENTREVISTA 1:
ALMACÉN Y NAVE ATLAS</t>
        </is>
      </c>
      <c r="B5" s="41" t="inlineStr">
        <is>
          <t>Semanas 1 y 2
(90 minutos)
Vía Google Meet / Zoom</t>
        </is>
      </c>
      <c r="C5" s="42" t="inlineStr">
        <is>
          <t>• Jefe de Almacén
• Encargado de Nave Atlas
• Operador Líder de Mesas de Corte
• Andrea (Líder Formatex)
• Jonathan Palacios (Movida TCI)</t>
        </is>
      </c>
      <c r="D5" s="42" t="inlineStr">
        <is>
          <t>Revalidar el flujo físico de recepción de rollos, inspección visual, etiquetado HU, zonificación de Nave Atlas en altura y mesas de corte mecánicas.</t>
        </is>
      </c>
      <c r="E5" s="42" t="inlineStr">
        <is>
          <t>• PWA Zebra TC22 de escaneo
• Pantalla de Recepción HU
• Visor de Slotting (Pasillos/Niveles 1-6)
• Pantalla de Mesa de Corte con contador</t>
        </is>
      </c>
      <c r="F5" s="42" t="inlineStr">
        <is>
          <t>1. ¿Cómo cotejan rollos al recibir? ¿Pesan, miden o confían en etiqueta del proveedor?
2. Calidad: ¿Qué criterios definen Calidad A, B, C, D y rollos restringidos?
3. Zonificación: ¿Niveles 1-2 picking a pie y 3-6 buffer montacargas?
4. Mesas de corte: ¿Cómo operan las máquinas 2, 3 y 5? ¿Qué se hace con el retazo vivo?
5. Carros rodantes: ¿Cómo agrupan pedidos en 'burros' metálicos?
6. Convivencia: ¿Validan arrancar con Zona Blanca (etiquetado WMS) y Zona Gris tradicional?</t>
        </is>
      </c>
      <c r="G5" s="42" t="inlineStr">
        <is>
          <t>Acta de Revalidación de Almacén firmada, Matriz de Reglas de Corte y Layout Nave Atlas validado.</t>
        </is>
      </c>
    </row>
    <row r="6">
      <c r="A6" s="40" t="inlineStr">
        <is>
          <t>ENTREVISTA 2:
ATC (VENTAS) Y ATENCIÓN</t>
        </is>
      </c>
      <c r="B6" s="41" t="inlineStr">
        <is>
          <t>Semana 2
(75 minutos)
Vía Google Meet / Zoom</t>
        </is>
      </c>
      <c r="C6" s="42" t="inlineStr">
        <is>
          <t>• Coordinador de ATC / Ventas
• Ejecutivos de Ventas Mayoreo
• Andrea (Líder Formatex)
• Jonathan Palacios (Movida TCI)</t>
        </is>
      </c>
      <c r="D6" s="42" t="inlineStr">
        <is>
          <t>Revalidar las políticas de consulta de stock en tiempo real, reglas de reserva de inventario, tolerancia de metraje en cortes y catálogo de muestrarios (libros).</t>
        </is>
      </c>
      <c r="E6" s="42" t="inlineStr">
        <is>
          <t>• Consulta de Stock Disponible por rollo
• Creación y Reserva de Pedidos
• Catálogo Digital de Muestrarios / Libros
• Monitoreo de estatus de preparación</t>
        </is>
      </c>
      <c r="F6" s="42" t="inlineStr">
        <is>
          <t>1. Reservas: ¿Se aparta el rollo completo o metros específicos? ¿Cuánto tiempo dura la reserva?
2. Tolerancia: Si piden 50m y el rollo tiene 53m, ¿se ofrece completo o se cortan 50m dejando 3m de merma?
3. Calidades: ¿ATC puede vender rollos B o C con descuento especial?
4. Muestrarios: ¿Cómo se manejan los libros de muestras que se prestan a clientes? ¿Descuentan tela?
5. Visibilidad: ¿Qué alertas necesitan ver (En Mesa de Corte, Empacado, Listo para Entrega)?</t>
        </is>
      </c>
      <c r="G6" s="42" t="inlineStr">
        <is>
          <t>Acta de Reglas Comerciales de Reserva, Política de Tolerancia de Cortes y Catálogo de Muestrarios.</t>
        </is>
      </c>
    </row>
    <row r="7">
      <c r="A7" s="40" t="inlineStr">
        <is>
          <t>ENTREVISTA 3:
COBRANZA Y FACTURACIÓN</t>
        </is>
      </c>
      <c r="B7" s="41" t="inlineStr">
        <is>
          <t>Semana 2
(75 minutos)
Vía Google Meet / Zoom</t>
        </is>
      </c>
      <c r="C7" s="42" t="inlineStr">
        <is>
          <t>• Contador General
• Encargado de Facturación y Crédito
• Andrea (Líder Formatex)
• Jonathan Palacios (Movida TCI)</t>
        </is>
      </c>
      <c r="D7" s="42" t="inlineStr">
        <is>
          <t>Revalidar el momento de timbrado fiscal CFDI 4.0, esquemas de crédito, integración CSFacturación / Facturapi vs CONTPAQi Comercial y notas de crédito.</t>
        </is>
      </c>
      <c r="E7" s="42" t="inlineStr">
        <is>
          <t>• Módulo de Facturación CFDI 4.0
• Conexión API CSFacturación
• Bandeja de Pedidos Surtidos listos para timbrar
• Manejo de remisiones vs facturas</t>
        </is>
      </c>
      <c r="F7" s="42" t="inlineStr">
        <is>
          <t>1. Momento de Timbrado: ¿Se timbra antes del corte o tras confirmar el metraje exacto en mesa?
2. Remisiones: ¿Manejan clientes que primero reciben remisión y luego factura mensual?
3. Bloqueo de Crédito: ¿El WMS debe bloquear la orden si el cliente tiene saldo vencido?
4. Datos CFDI 4.0: ¿Quién actualiza RFC, Régimen, Uso CFDI y Código Postal?
5. Cancelaciones: ¿Cómo se reflejan devoluciones de rollos y notas de crédito?</t>
        </is>
      </c>
      <c r="G7" s="42" t="inlineStr">
        <is>
          <t>Flujograma Fiscal Aprobado, Esquema de Conexión CSFacturación y Reglas de Liberación por Crédito.</t>
        </is>
      </c>
    </row>
    <row r="8">
      <c r="A8" s="40" t="inlineStr">
        <is>
          <t>ENTREVISTA 4:
COMPRAS Y ABASTECIMIENTO</t>
        </is>
      </c>
      <c r="B8" s="41" t="inlineStr">
        <is>
          <t>Semana 3
(75 minutos)
Vía Google Meet / Zoom</t>
        </is>
      </c>
      <c r="C8" s="42" t="inlineStr">
        <is>
          <t>• Gerente de Compras
• Auxiliar de Tráfico / Importación
• Andrea (Líder Formatex)
• Jonathan Palacios (Movida TCI)</t>
        </is>
      </c>
      <c r="D8" s="42" t="inlineStr">
        <is>
          <t>Revalidar el ciclo de órdenes de compra nacionales y de importación, seguimiento de contenedores en tránsito y recepción contra factura del proveedor.</t>
        </is>
      </c>
      <c r="E8" s="42" t="inlineStr">
        <is>
          <t>• Módulo de Órdenes de Compra
• Tablero de Mercancía en Tránsito (Contenedores)
• Cotejo de Recepción física vs Factura proveedor</t>
        </is>
      </c>
      <c r="F8" s="42" t="inlineStr">
        <is>
          <t>1. Origen de Mercancía: ¿Qué porcentaje es nacional vs contenedores marítimos de importación?
2. Tránsito: ¿Cómo registran contenedores en barco o aduana? ¿En qué momento es stock en tránsito?
3. Mermas de Origen: Cuando facturan 10,000m y llegan 9,880m, ¿cómo se concilia esa diferencia?
4. Nomenclatura: ¿Los proveedores usan códigos estándar o Formatex renombra internamente los colores?
5. Costeo: ¿El WMS solo controla unidades físicas (metros) o requiere gastos de flete/aduanas?</t>
        </is>
      </c>
      <c r="G8" s="42" t="inlineStr">
        <is>
          <t>Protocolo de Registro de Tránsito, Procedimiento de Cotejo Físico vs Factura y Catálogo Proveedores.</t>
        </is>
      </c>
    </row>
    <row r="9">
      <c r="A9" s="40" t="inlineStr">
        <is>
          <t>ENTREVISTA 5:
PLANEACIÓN Y RESURTIDO</t>
        </is>
      </c>
      <c r="B9" s="41" t="inlineStr">
        <is>
          <t>Semana 3
(75 minutos)
Vía Google Meet / Zoom</t>
        </is>
      </c>
      <c r="C9" s="42" t="inlineStr">
        <is>
          <t>• Director de Operaciones
• Encargado de Planeación y Suministro
• Andrea (Líder Formatex)
• Jonathan Palacios (Movida TCI)</t>
        </is>
      </c>
      <c r="D9" s="42" t="inlineStr">
        <is>
          <t>Revalidar la fórmula matemática del Motor de Resurtido Automatizado Formatex Master (S+P+T vs 4M x 4.5), ingesta de 13 meses CONTPAQi y categorización ABC.</t>
        </is>
      </c>
      <c r="E9" s="42" t="inlineStr">
        <is>
          <t>• Panel de Resurtido Formatex Master
• Simulador de Compras Sugeridas
• Ingesta y análisis de histórico de ventas 13 meses</t>
        </is>
      </c>
      <c r="F9" s="42" t="inlineStr">
        <is>
          <t>1. Fórmula: ¿Se valida la fórmula S (Stock) + P (En Producción) + T (En Tránsito) vs Demanda Proyectada?
2. Categorización: ¿Telas 'Básicas Continuas' vs 'Telas de Temporada' que no se resurtirán?
3. Histórico CONTPAQi: ¿Disponibilidad de XMLs/Excel de ventas de los últimos 13 meses para el algoritmo?
4. Periodicidad: ¿Con qué frecuencia corre el cálculo de resurtido (semanal, quincenal)?
5. Flujo de Aprobación: ¿El motor crea órdenes automáticas o un borrador para revisión humana?</t>
        </is>
      </c>
      <c r="G9" s="42" t="inlineStr">
        <is>
          <t>Especificación Paramétrica de Resurtido Aprobada y Calendario de Ingesta Histórica de Ventas.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4" customWidth="1" min="11" max="11"/>
  </cols>
  <sheetData>
    <row r="1">
      <c r="A1" s="19" t="inlineStr">
        <is>
          <t>MATRIZ RACI — ROLES Y RESPONSABILIDADES DEL PROYECTO WMS 360+</t>
        </is>
      </c>
    </row>
    <row r="2">
      <c r="A2" s="38" t="inlineStr">
        <is>
          <t>R = Responsable de Ejecutar | A = Aprobador Final (Accountable) | C = Consultado / Especialista | I = Informado del Progreso</t>
        </is>
      </c>
    </row>
    <row r="4">
      <c r="A4" s="39" t="inlineStr">
        <is>
          <t>Fase / Actividad Principal</t>
        </is>
      </c>
      <c r="B4" s="39" t="inlineStr">
        <is>
          <t>Dirección Formatex</t>
        </is>
      </c>
      <c r="C4" s="39" t="inlineStr">
        <is>
          <t>Andrea (Líder Proy)</t>
        </is>
      </c>
      <c r="D4" s="39" t="inlineStr">
        <is>
          <t>Jefe Almacén</t>
        </is>
      </c>
      <c r="E4" s="39" t="inlineStr">
        <is>
          <t>Líder ATC</t>
        </is>
      </c>
      <c r="F4" s="39" t="inlineStr">
        <is>
          <t>Facturación</t>
        </is>
      </c>
      <c r="G4" s="39" t="inlineStr">
        <is>
          <t>Compras</t>
        </is>
      </c>
      <c r="H4" s="39" t="inlineStr">
        <is>
          <t>Planeación</t>
        </is>
      </c>
      <c r="I4" s="39" t="inlineStr">
        <is>
          <t>TI Formatex</t>
        </is>
      </c>
      <c r="J4" s="39" t="inlineStr">
        <is>
          <t>Movida TCI (Líder)</t>
        </is>
      </c>
      <c r="K4" s="39" t="inlineStr">
        <is>
          <t>Movida TCI (Dev)</t>
        </is>
      </c>
    </row>
    <row r="5">
      <c r="A5" s="43" t="inlineStr">
        <is>
          <t>1. Aprobación de SOW, Presupuesto y Kickoff</t>
        </is>
      </c>
      <c r="B5" s="44" t="inlineStr">
        <is>
          <t>A</t>
        </is>
      </c>
      <c r="C5" s="45" t="inlineStr">
        <is>
          <t>R</t>
        </is>
      </c>
      <c r="D5" s="46" t="inlineStr">
        <is>
          <t>I</t>
        </is>
      </c>
      <c r="E5" s="46" t="inlineStr">
        <is>
          <t>I</t>
        </is>
      </c>
      <c r="F5" s="46" t="inlineStr">
        <is>
          <t>I</t>
        </is>
      </c>
      <c r="G5" s="46" t="inlineStr">
        <is>
          <t>I</t>
        </is>
      </c>
      <c r="H5" s="46" t="inlineStr">
        <is>
          <t>I</t>
        </is>
      </c>
      <c r="I5" s="46" t="inlineStr">
        <is>
          <t>I</t>
        </is>
      </c>
      <c r="J5" s="45" t="inlineStr">
        <is>
          <t>R</t>
        </is>
      </c>
      <c r="K5" s="46" t="inlineStr">
        <is>
          <t>I</t>
        </is>
      </c>
    </row>
    <row r="6">
      <c r="A6" s="43" t="inlineStr">
        <is>
          <t>2. Entrevistas de Revalidación (5 Áreas Clave)</t>
        </is>
      </c>
      <c r="B6" s="46" t="inlineStr">
        <is>
          <t>I</t>
        </is>
      </c>
      <c r="C6" s="44" t="inlineStr">
        <is>
          <t>A</t>
        </is>
      </c>
      <c r="D6" s="47" t="inlineStr">
        <is>
          <t>C</t>
        </is>
      </c>
      <c r="E6" s="47" t="inlineStr">
        <is>
          <t>C</t>
        </is>
      </c>
      <c r="F6" s="47" t="inlineStr">
        <is>
          <t>C</t>
        </is>
      </c>
      <c r="G6" s="47" t="inlineStr">
        <is>
          <t>C</t>
        </is>
      </c>
      <c r="H6" s="47" t="inlineStr">
        <is>
          <t>C</t>
        </is>
      </c>
      <c r="I6" s="47" t="inlineStr">
        <is>
          <t>C</t>
        </is>
      </c>
      <c r="J6" s="45" t="inlineStr">
        <is>
          <t>R</t>
        </is>
      </c>
      <c r="K6" s="47" t="inlineStr">
        <is>
          <t>C</t>
        </is>
      </c>
    </row>
    <row r="7">
      <c r="A7" s="43" t="inlineStr">
        <is>
          <t>3. Aprobación de Actas y Especificación Funcional</t>
        </is>
      </c>
      <c r="B7" s="44" t="inlineStr">
        <is>
          <t>A</t>
        </is>
      </c>
      <c r="C7" s="44" t="inlineStr">
        <is>
          <t>A</t>
        </is>
      </c>
      <c r="D7" s="47" t="inlineStr">
        <is>
          <t>C</t>
        </is>
      </c>
      <c r="E7" s="47" t="inlineStr">
        <is>
          <t>C</t>
        </is>
      </c>
      <c r="F7" s="47" t="inlineStr">
        <is>
          <t>C</t>
        </is>
      </c>
      <c r="G7" s="47" t="inlineStr">
        <is>
          <t>C</t>
        </is>
      </c>
      <c r="H7" s="47" t="inlineStr">
        <is>
          <t>C</t>
        </is>
      </c>
      <c r="I7" s="46" t="inlineStr">
        <is>
          <t>I</t>
        </is>
      </c>
      <c r="J7" s="45" t="inlineStr">
        <is>
          <t>R</t>
        </is>
      </c>
      <c r="K7" s="47" t="inlineStr">
        <is>
          <t>C</t>
        </is>
      </c>
    </row>
    <row r="8">
      <c r="A8" s="43" t="inlineStr">
        <is>
          <t>4. Desarrollo de Arquitectura y Base de Datos WMS</t>
        </is>
      </c>
      <c r="B8" s="46" t="inlineStr">
        <is>
          <t>I</t>
        </is>
      </c>
      <c r="C8" s="46" t="inlineStr">
        <is>
          <t>I</t>
        </is>
      </c>
      <c r="D8" s="46" t="inlineStr">
        <is>
          <t>I</t>
        </is>
      </c>
      <c r="E8" s="46" t="inlineStr">
        <is>
          <t>I</t>
        </is>
      </c>
      <c r="F8" s="46" t="inlineStr">
        <is>
          <t>I</t>
        </is>
      </c>
      <c r="G8" s="46" t="inlineStr">
        <is>
          <t>I</t>
        </is>
      </c>
      <c r="H8" s="46" t="inlineStr">
        <is>
          <t>I</t>
        </is>
      </c>
      <c r="I8" s="47" t="inlineStr">
        <is>
          <t>C</t>
        </is>
      </c>
      <c r="J8" s="44" t="inlineStr">
        <is>
          <t>A</t>
        </is>
      </c>
      <c r="K8" s="45" t="inlineStr">
        <is>
          <t>R</t>
        </is>
      </c>
    </row>
    <row r="9">
      <c r="A9" s="43" t="inlineStr">
        <is>
          <t>5. Módulo de Catálogos Maestros y Muestrarios</t>
        </is>
      </c>
      <c r="B9" s="46" t="inlineStr">
        <is>
          <t>I</t>
        </is>
      </c>
      <c r="C9" s="44" t="inlineStr">
        <is>
          <t>A</t>
        </is>
      </c>
      <c r="D9" s="47" t="inlineStr">
        <is>
          <t>C</t>
        </is>
      </c>
      <c r="E9" s="47" t="inlineStr">
        <is>
          <t>C</t>
        </is>
      </c>
      <c r="F9" s="46" t="inlineStr">
        <is>
          <t>I</t>
        </is>
      </c>
      <c r="G9" s="47" t="inlineStr">
        <is>
          <t>C</t>
        </is>
      </c>
      <c r="H9" s="47" t="inlineStr">
        <is>
          <t>C</t>
        </is>
      </c>
      <c r="I9" s="47" t="inlineStr">
        <is>
          <t>C</t>
        </is>
      </c>
      <c r="J9" s="44" t="inlineStr">
        <is>
          <t>A</t>
        </is>
      </c>
      <c r="K9" s="45" t="inlineStr">
        <is>
          <t>R</t>
        </is>
      </c>
    </row>
    <row r="10">
      <c r="A10" s="43" t="inlineStr">
        <is>
          <t>6. Módulo de Compras, Tránsito y Recepción HU</t>
        </is>
      </c>
      <c r="B10" s="46" t="inlineStr">
        <is>
          <t>I</t>
        </is>
      </c>
      <c r="C10" s="44" t="inlineStr">
        <is>
          <t>A</t>
        </is>
      </c>
      <c r="D10" s="47" t="inlineStr">
        <is>
          <t>C</t>
        </is>
      </c>
      <c r="E10" s="46" t="inlineStr">
        <is>
          <t>I</t>
        </is>
      </c>
      <c r="F10" s="46" t="inlineStr">
        <is>
          <t>I</t>
        </is>
      </c>
      <c r="G10" s="47" t="inlineStr">
        <is>
          <t>C</t>
        </is>
      </c>
      <c r="H10" s="46" t="inlineStr">
        <is>
          <t>I</t>
        </is>
      </c>
      <c r="I10" s="46" t="inlineStr">
        <is>
          <t>I</t>
        </is>
      </c>
      <c r="J10" s="44" t="inlineStr">
        <is>
          <t>A</t>
        </is>
      </c>
      <c r="K10" s="45" t="inlineStr">
        <is>
          <t>R</t>
        </is>
      </c>
    </row>
    <row r="11">
      <c r="A11" s="43" t="inlineStr">
        <is>
          <t>7. Módulo de Calidad Rollos (A-D) y Bloqueo</t>
        </is>
      </c>
      <c r="B11" s="46" t="inlineStr">
        <is>
          <t>I</t>
        </is>
      </c>
      <c r="C11" s="44" t="inlineStr">
        <is>
          <t>A</t>
        </is>
      </c>
      <c r="D11" s="47" t="inlineStr">
        <is>
          <t>C</t>
        </is>
      </c>
      <c r="E11" s="47" t="inlineStr">
        <is>
          <t>C</t>
        </is>
      </c>
      <c r="F11" s="46" t="inlineStr">
        <is>
          <t>I</t>
        </is>
      </c>
      <c r="G11" s="46" t="inlineStr">
        <is>
          <t>I</t>
        </is>
      </c>
      <c r="H11" s="46" t="inlineStr">
        <is>
          <t>I</t>
        </is>
      </c>
      <c r="I11" s="46" t="inlineStr">
        <is>
          <t>I</t>
        </is>
      </c>
      <c r="J11" s="44" t="inlineStr">
        <is>
          <t>A</t>
        </is>
      </c>
      <c r="K11" s="45" t="inlineStr">
        <is>
          <t>R</t>
        </is>
      </c>
    </row>
    <row r="12">
      <c r="A12" s="43" t="inlineStr">
        <is>
          <t>8. PWA Zebra TC22 (Escaneo y Movilidad)</t>
        </is>
      </c>
      <c r="B12" s="46" t="inlineStr">
        <is>
          <t>I</t>
        </is>
      </c>
      <c r="C12" s="44" t="inlineStr">
        <is>
          <t>A</t>
        </is>
      </c>
      <c r="D12" s="47" t="inlineStr">
        <is>
          <t>C</t>
        </is>
      </c>
      <c r="E12" s="46" t="inlineStr">
        <is>
          <t>I</t>
        </is>
      </c>
      <c r="F12" s="46" t="inlineStr">
        <is>
          <t>I</t>
        </is>
      </c>
      <c r="G12" s="46" t="inlineStr">
        <is>
          <t>I</t>
        </is>
      </c>
      <c r="H12" s="46" t="inlineStr">
        <is>
          <t>I</t>
        </is>
      </c>
      <c r="I12" s="47" t="inlineStr">
        <is>
          <t>C</t>
        </is>
      </c>
      <c r="J12" s="44" t="inlineStr">
        <is>
          <t>A</t>
        </is>
      </c>
      <c r="K12" s="45" t="inlineStr">
        <is>
          <t>R</t>
        </is>
      </c>
    </row>
    <row r="13">
      <c r="A13" s="43" t="inlineStr">
        <is>
          <t>9. Surtido, Mesas de Corte y Genealogía Retazos</t>
        </is>
      </c>
      <c r="B13" s="46" t="inlineStr">
        <is>
          <t>I</t>
        </is>
      </c>
      <c r="C13" s="44" t="inlineStr">
        <is>
          <t>A</t>
        </is>
      </c>
      <c r="D13" s="47" t="inlineStr">
        <is>
          <t>C</t>
        </is>
      </c>
      <c r="E13" s="47" t="inlineStr">
        <is>
          <t>C</t>
        </is>
      </c>
      <c r="F13" s="46" t="inlineStr">
        <is>
          <t>I</t>
        </is>
      </c>
      <c r="G13" s="46" t="inlineStr">
        <is>
          <t>I</t>
        </is>
      </c>
      <c r="H13" s="46" t="inlineStr">
        <is>
          <t>I</t>
        </is>
      </c>
      <c r="I13" s="46" t="inlineStr">
        <is>
          <t>I</t>
        </is>
      </c>
      <c r="J13" s="44" t="inlineStr">
        <is>
          <t>A</t>
        </is>
      </c>
      <c r="K13" s="45" t="inlineStr">
        <is>
          <t>R</t>
        </is>
      </c>
    </row>
    <row r="14">
      <c r="A14" s="43" t="inlineStr">
        <is>
          <t>10. Integración CFDI 4.0 con CSFacturación</t>
        </is>
      </c>
      <c r="B14" s="46" t="inlineStr">
        <is>
          <t>I</t>
        </is>
      </c>
      <c r="C14" s="44" t="inlineStr">
        <is>
          <t>A</t>
        </is>
      </c>
      <c r="D14" s="46" t="inlineStr">
        <is>
          <t>I</t>
        </is>
      </c>
      <c r="E14" s="46" t="inlineStr">
        <is>
          <t>I</t>
        </is>
      </c>
      <c r="F14" s="47" t="inlineStr">
        <is>
          <t>C</t>
        </is>
      </c>
      <c r="G14" s="46" t="inlineStr">
        <is>
          <t>I</t>
        </is>
      </c>
      <c r="H14" s="46" t="inlineStr">
        <is>
          <t>I</t>
        </is>
      </c>
      <c r="I14" s="47" t="inlineStr">
        <is>
          <t>C</t>
        </is>
      </c>
      <c r="J14" s="44" t="inlineStr">
        <is>
          <t>A</t>
        </is>
      </c>
      <c r="K14" s="45" t="inlineStr">
        <is>
          <t>R</t>
        </is>
      </c>
    </row>
    <row r="15">
      <c r="A15" s="43" t="inlineStr">
        <is>
          <t>11. Motor de Resurtido Formatex Master</t>
        </is>
      </c>
      <c r="B15" s="46" t="inlineStr">
        <is>
          <t>I</t>
        </is>
      </c>
      <c r="C15" s="44" t="inlineStr">
        <is>
          <t>A</t>
        </is>
      </c>
      <c r="D15" s="46" t="inlineStr">
        <is>
          <t>I</t>
        </is>
      </c>
      <c r="E15" s="46" t="inlineStr">
        <is>
          <t>I</t>
        </is>
      </c>
      <c r="F15" s="46" t="inlineStr">
        <is>
          <t>I</t>
        </is>
      </c>
      <c r="G15" s="47" t="inlineStr">
        <is>
          <t>C</t>
        </is>
      </c>
      <c r="H15" s="47" t="inlineStr">
        <is>
          <t>C</t>
        </is>
      </c>
      <c r="I15" s="47" t="inlineStr">
        <is>
          <t>C</t>
        </is>
      </c>
      <c r="J15" s="44" t="inlineStr">
        <is>
          <t>A</t>
        </is>
      </c>
      <c r="K15" s="45" t="inlineStr">
        <is>
          <t>R</t>
        </is>
      </c>
    </row>
    <row r="16">
      <c r="A16" s="43" t="inlineStr">
        <is>
          <t>12. Auditoría Wi-Fi y Equipamiento Nave Atlas</t>
        </is>
      </c>
      <c r="B16" s="46" t="inlineStr">
        <is>
          <t>I</t>
        </is>
      </c>
      <c r="C16" s="44" t="inlineStr">
        <is>
          <t>A</t>
        </is>
      </c>
      <c r="D16" s="47" t="inlineStr">
        <is>
          <t>C</t>
        </is>
      </c>
      <c r="E16" s="46" t="inlineStr">
        <is>
          <t>I</t>
        </is>
      </c>
      <c r="F16" s="46" t="inlineStr">
        <is>
          <t>I</t>
        </is>
      </c>
      <c r="G16" s="46" t="inlineStr">
        <is>
          <t>I</t>
        </is>
      </c>
      <c r="H16" s="46" t="inlineStr">
        <is>
          <t>I</t>
        </is>
      </c>
      <c r="I16" s="45" t="inlineStr">
        <is>
          <t>R</t>
        </is>
      </c>
      <c r="J16" s="47" t="inlineStr">
        <is>
          <t>C</t>
        </is>
      </c>
      <c r="K16" s="46" t="inlineStr">
        <is>
          <t>I</t>
        </is>
      </c>
    </row>
    <row r="17">
      <c r="A17" s="43" t="inlineStr">
        <is>
          <t>13. Rotulación de Pasillos, Racks y Niveles 1-6</t>
        </is>
      </c>
      <c r="B17" s="46" t="inlineStr">
        <is>
          <t>I</t>
        </is>
      </c>
      <c r="C17" s="44" t="inlineStr">
        <is>
          <t>A</t>
        </is>
      </c>
      <c r="D17" s="45" t="inlineStr">
        <is>
          <t>R</t>
        </is>
      </c>
      <c r="E17" s="46" t="inlineStr">
        <is>
          <t>I</t>
        </is>
      </c>
      <c r="F17" s="46" t="inlineStr">
        <is>
          <t>I</t>
        </is>
      </c>
      <c r="G17" s="46" t="inlineStr">
        <is>
          <t>I</t>
        </is>
      </c>
      <c r="H17" s="46" t="inlineStr">
        <is>
          <t>I</t>
        </is>
      </c>
      <c r="I17" s="46" t="inlineStr">
        <is>
          <t>I</t>
        </is>
      </c>
      <c r="J17" s="47" t="inlineStr">
        <is>
          <t>C</t>
        </is>
      </c>
      <c r="K17" s="46" t="inlineStr">
        <is>
          <t>I</t>
        </is>
      </c>
    </row>
    <row r="18">
      <c r="A18" s="43" t="inlineStr">
        <is>
          <t>14. Extracción y Depuración Data CONTPAQi</t>
        </is>
      </c>
      <c r="B18" s="46" t="inlineStr">
        <is>
          <t>I</t>
        </is>
      </c>
      <c r="C18" s="44" t="inlineStr">
        <is>
          <t>A</t>
        </is>
      </c>
      <c r="D18" s="46" t="inlineStr">
        <is>
          <t>I</t>
        </is>
      </c>
      <c r="E18" s="46" t="inlineStr">
        <is>
          <t>I</t>
        </is>
      </c>
      <c r="F18" s="47" t="inlineStr">
        <is>
          <t>C</t>
        </is>
      </c>
      <c r="G18" s="47" t="inlineStr">
        <is>
          <t>C</t>
        </is>
      </c>
      <c r="H18" s="47" t="inlineStr">
        <is>
          <t>C</t>
        </is>
      </c>
      <c r="I18" s="45" t="inlineStr">
        <is>
          <t>R</t>
        </is>
      </c>
      <c r="J18" s="45" t="inlineStr">
        <is>
          <t>R</t>
        </is>
      </c>
      <c r="K18" s="45" t="inlineStr">
        <is>
          <t>R</t>
        </is>
      </c>
    </row>
    <row r="19">
      <c r="A19" s="43" t="inlineStr">
        <is>
          <t>15. Despliegue Arranque en Frío (Blanca vs Gris)</t>
        </is>
      </c>
      <c r="B19" s="44" t="inlineStr">
        <is>
          <t>A</t>
        </is>
      </c>
      <c r="C19" s="44" t="inlineStr">
        <is>
          <t>A</t>
        </is>
      </c>
      <c r="D19" s="45" t="inlineStr">
        <is>
          <t>R</t>
        </is>
      </c>
      <c r="E19" s="47" t="inlineStr">
        <is>
          <t>C</t>
        </is>
      </c>
      <c r="F19" s="46" t="inlineStr">
        <is>
          <t>I</t>
        </is>
      </c>
      <c r="G19" s="47" t="inlineStr">
        <is>
          <t>C</t>
        </is>
      </c>
      <c r="H19" s="46" t="inlineStr">
        <is>
          <t>I</t>
        </is>
      </c>
      <c r="I19" s="46" t="inlineStr">
        <is>
          <t>I</t>
        </is>
      </c>
      <c r="J19" s="45" t="inlineStr">
        <is>
          <t>R</t>
        </is>
      </c>
      <c r="K19" s="47" t="inlineStr">
        <is>
          <t>C</t>
        </is>
      </c>
    </row>
    <row r="20">
      <c r="A20" s="43" t="inlineStr">
        <is>
          <t>16. Capacitación a Operadores de Almacén</t>
        </is>
      </c>
      <c r="B20" s="46" t="inlineStr">
        <is>
          <t>I</t>
        </is>
      </c>
      <c r="C20" s="44" t="inlineStr">
        <is>
          <t>A</t>
        </is>
      </c>
      <c r="D20" s="45" t="inlineStr">
        <is>
          <t>R</t>
        </is>
      </c>
      <c r="E20" s="46" t="inlineStr">
        <is>
          <t>I</t>
        </is>
      </c>
      <c r="F20" s="46" t="inlineStr">
        <is>
          <t>I</t>
        </is>
      </c>
      <c r="G20" s="46" t="inlineStr">
        <is>
          <t>I</t>
        </is>
      </c>
      <c r="H20" s="46" t="inlineStr">
        <is>
          <t>I</t>
        </is>
      </c>
      <c r="I20" s="46" t="inlineStr">
        <is>
          <t>I</t>
        </is>
      </c>
      <c r="J20" s="45" t="inlineStr">
        <is>
          <t>R</t>
        </is>
      </c>
      <c r="K20" s="47" t="inlineStr">
        <is>
          <t>C</t>
        </is>
      </c>
    </row>
    <row r="21">
      <c r="A21" s="43" t="inlineStr">
        <is>
          <t>17. Capacitación a Usuarios Administrativos</t>
        </is>
      </c>
      <c r="B21" s="46" t="inlineStr">
        <is>
          <t>I</t>
        </is>
      </c>
      <c r="C21" s="44" t="inlineStr">
        <is>
          <t>A</t>
        </is>
      </c>
      <c r="D21" s="46" t="inlineStr">
        <is>
          <t>I</t>
        </is>
      </c>
      <c r="E21" s="45" t="inlineStr">
        <is>
          <t>R</t>
        </is>
      </c>
      <c r="F21" s="45" t="inlineStr">
        <is>
          <t>R</t>
        </is>
      </c>
      <c r="G21" s="45" t="inlineStr">
        <is>
          <t>R</t>
        </is>
      </c>
      <c r="H21" s="45" t="inlineStr">
        <is>
          <t>R</t>
        </is>
      </c>
      <c r="I21" s="46" t="inlineStr">
        <is>
          <t>I</t>
        </is>
      </c>
      <c r="J21" s="45" t="inlineStr">
        <is>
          <t>R</t>
        </is>
      </c>
      <c r="K21" s="47" t="inlineStr">
        <is>
          <t>C</t>
        </is>
      </c>
    </row>
    <row r="22">
      <c r="A22" s="43" t="inlineStr">
        <is>
          <t>18. Ejecución de Pruebas de Aceptación (UAT)</t>
        </is>
      </c>
      <c r="B22" s="44" t="inlineStr">
        <is>
          <t>A</t>
        </is>
      </c>
      <c r="C22" s="44" t="inlineStr">
        <is>
          <t>A</t>
        </is>
      </c>
      <c r="D22" s="45" t="inlineStr">
        <is>
          <t>R</t>
        </is>
      </c>
      <c r="E22" s="45" t="inlineStr">
        <is>
          <t>R</t>
        </is>
      </c>
      <c r="F22" s="45" t="inlineStr">
        <is>
          <t>R</t>
        </is>
      </c>
      <c r="G22" s="45" t="inlineStr">
        <is>
          <t>R</t>
        </is>
      </c>
      <c r="H22" s="45" t="inlineStr">
        <is>
          <t>R</t>
        </is>
      </c>
      <c r="I22" s="47" t="inlineStr">
        <is>
          <t>C</t>
        </is>
      </c>
      <c r="J22" s="45" t="inlineStr">
        <is>
          <t>R</t>
        </is>
      </c>
      <c r="K22" s="45" t="inlineStr">
        <is>
          <t>R</t>
        </is>
      </c>
    </row>
    <row r="23">
      <c r="A23" s="43" t="inlineStr">
        <is>
          <t>19. Salida Oficial a Producción (Go-Live 100%)</t>
        </is>
      </c>
      <c r="B23" s="44" t="inlineStr">
        <is>
          <t>A</t>
        </is>
      </c>
      <c r="C23" s="44" t="inlineStr">
        <is>
          <t>A</t>
        </is>
      </c>
      <c r="D23" s="45" t="inlineStr">
        <is>
          <t>R</t>
        </is>
      </c>
      <c r="E23" s="45" t="inlineStr">
        <is>
          <t>R</t>
        </is>
      </c>
      <c r="F23" s="45" t="inlineStr">
        <is>
          <t>R</t>
        </is>
      </c>
      <c r="G23" s="45" t="inlineStr">
        <is>
          <t>R</t>
        </is>
      </c>
      <c r="H23" s="45" t="inlineStr">
        <is>
          <t>R</t>
        </is>
      </c>
      <c r="I23" s="45" t="inlineStr">
        <is>
          <t>R</t>
        </is>
      </c>
      <c r="J23" s="45" t="inlineStr">
        <is>
          <t>R</t>
        </is>
      </c>
      <c r="K23" s="45" t="inlineStr">
        <is>
          <t>R</t>
        </is>
      </c>
    </row>
    <row r="24">
      <c r="A24" s="43" t="inlineStr">
        <is>
          <t>20. Hipercare Post-Arranque y Firma de Acta</t>
        </is>
      </c>
      <c r="B24" s="44" t="inlineStr">
        <is>
          <t>A</t>
        </is>
      </c>
      <c r="C24" s="44" t="inlineStr">
        <is>
          <t>A</t>
        </is>
      </c>
      <c r="D24" s="46" t="inlineStr">
        <is>
          <t>I</t>
        </is>
      </c>
      <c r="E24" s="46" t="inlineStr">
        <is>
          <t>I</t>
        </is>
      </c>
      <c r="F24" s="46" t="inlineStr">
        <is>
          <t>I</t>
        </is>
      </c>
      <c r="G24" s="46" t="inlineStr">
        <is>
          <t>I</t>
        </is>
      </c>
      <c r="H24" s="46" t="inlineStr">
        <is>
          <t>I</t>
        </is>
      </c>
      <c r="I24" s="46" t="inlineStr">
        <is>
          <t>I</t>
        </is>
      </c>
      <c r="J24" s="45" t="inlineStr">
        <is>
          <t>R</t>
        </is>
      </c>
      <c r="K24" s="46" t="inlineStr">
        <is>
          <t>I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45" customWidth="1" min="4" max="4"/>
    <col width="45" customWidth="1" min="5" max="5"/>
    <col width="14" customWidth="1" min="6" max="6"/>
  </cols>
  <sheetData>
    <row r="1">
      <c r="A1" s="19" t="inlineStr">
        <is>
          <t>MATRIZ DE PRUEBAS DE ACEPTACIÓN DE USUARIO (UAT) Y CRITERIOS GO-LIVE</t>
        </is>
      </c>
    </row>
    <row r="2">
      <c r="A2" s="38" t="inlineStr">
        <is>
          <t>Validación formal de escenarios punta a punta para firma de acta de aceptación final y salida a producción</t>
        </is>
      </c>
    </row>
    <row r="4">
      <c r="A4" s="39" t="inlineStr">
        <is>
          <t>ID Caso</t>
        </is>
      </c>
      <c r="B4" s="39" t="inlineStr">
        <is>
          <t>Área Responsable</t>
        </is>
      </c>
      <c r="C4" s="39" t="inlineStr">
        <is>
          <t>Escenario / Proceso</t>
        </is>
      </c>
      <c r="D4" s="39" t="inlineStr">
        <is>
          <t>Procedimiento de Prueba (Paso a Paso)</t>
        </is>
      </c>
      <c r="E4" s="39" t="inlineStr">
        <is>
          <t>Criterio de Aceptación / Resultado Esperado</t>
        </is>
      </c>
      <c r="F4" s="39" t="inlineStr">
        <is>
          <t>Estatus UAT</t>
        </is>
      </c>
    </row>
    <row r="5">
      <c r="A5" s="48" t="inlineStr">
        <is>
          <t>UAT-01</t>
        </is>
      </c>
      <c r="B5" s="42" t="inlineStr">
        <is>
          <t>Compras / Almacén</t>
        </is>
      </c>
      <c r="C5" s="42" t="inlineStr">
        <is>
          <t>Recepción de Rollos y Etiquetado HU</t>
        </is>
      </c>
      <c r="D5" s="42" t="inlineStr">
        <is>
          <t>1. Crear Orden de Compra de 10 rollos de Lino Tokio.
2. Iniciar recepción en WMS y escanear bultos.
3. Registrar metrajes reales recibidos.
4. Imprimir etiquetas térmicas con código HU por rollo.</t>
        </is>
      </c>
      <c r="E5" s="42" t="inlineStr">
        <is>
          <t>• Cada rollo cuenta con identificador HU único.
• Etiquetas impresas con código escaneable.
• Metraje ingresado visible en stock de Recepción sin duplicar.</t>
        </is>
      </c>
      <c r="F5" s="49" t="inlineStr">
        <is>
          <t>Aprobado Prototipo</t>
        </is>
      </c>
    </row>
    <row r="6">
      <c r="A6" s="48" t="inlineStr">
        <is>
          <t>UAT-02</t>
        </is>
      </c>
      <c r="B6" s="42" t="inlineStr">
        <is>
          <t>Almacén / Calidad</t>
        </is>
      </c>
      <c r="C6" s="42" t="inlineStr">
        <is>
          <t>Inspección de Calidad y Bloqueo</t>
        </is>
      </c>
      <c r="D6" s="42" t="inlineStr">
        <is>
          <t>1. Inspeccionar rollo HU con tara en orilla.
2. Calificar rollo como Calidad C con bandera Restringido.
3. Intentar reservar el rollo desde el módulo de ATC.</t>
        </is>
      </c>
      <c r="E6" s="42" t="inlineStr">
        <is>
          <t>• El rollo queda bloqueado para venta regular.
• ATC visualiza el rollo como 'No Disponible' o con alerta de tara.
• Se registra usuario y motivo de bloqueo.</t>
        </is>
      </c>
      <c r="F6" s="49" t="inlineStr">
        <is>
          <t>Aprobado Prototipo</t>
        </is>
      </c>
    </row>
    <row r="7">
      <c r="A7" s="48" t="inlineStr">
        <is>
          <t>UAT-03</t>
        </is>
      </c>
      <c r="B7" s="42" t="inlineStr">
        <is>
          <t>Almacén</t>
        </is>
      </c>
      <c r="C7" s="42" t="inlineStr">
        <is>
          <t>Slotting en Nave Atlas (Niveles 1-6)</t>
        </is>
      </c>
      <c r="D7" s="42" t="inlineStr">
        <is>
          <t>1. Tomar rollo recibido con Zebra TC22.
2. Escanear código de ubicación física (Pasillo 1, Rack 4, Nivel 1).
3. Reubicar pallet a Nivel 5 (Altura montacargas).</t>
        </is>
      </c>
      <c r="E7" s="42" t="inlineStr">
        <is>
          <t>• El WMS actualiza la ubicación en menos de 1 segundo.
• El sistema distingue ubicaciones de picking a pie vs altura de reserva.</t>
        </is>
      </c>
      <c r="F7" s="49" t="inlineStr">
        <is>
          <t>Aprobado Prototipo</t>
        </is>
      </c>
    </row>
    <row r="8">
      <c r="A8" s="48" t="inlineStr">
        <is>
          <t>UAT-04</t>
        </is>
      </c>
      <c r="B8" s="42" t="inlineStr">
        <is>
          <t>ATC / Ventas</t>
        </is>
      </c>
      <c r="C8" s="42" t="inlineStr">
        <is>
          <t>Reserva de Stock y Muestrarios</t>
        </is>
      </c>
      <c r="D8" s="42" t="inlineStr">
        <is>
          <t>1. Cliente solicita 100m de Terciopelo Azul.
2. ATC reserva 2 rollos de 50m (reserva firme).
3. Registrar préstamo de libro muestrario a cliente.</t>
        </is>
      </c>
      <c r="E8" s="42" t="inlineStr">
        <is>
          <t>• El stock comprometido no puede ser vendido por otro asesor.
• El libro muestrario queda registrado con responsable y fecha límite.</t>
        </is>
      </c>
      <c r="F8" s="49" t="inlineStr">
        <is>
          <t>Aprobado Prototipo</t>
        </is>
      </c>
    </row>
    <row r="9">
      <c r="A9" s="48" t="inlineStr">
        <is>
          <t>UAT-05</t>
        </is>
      </c>
      <c r="B9" s="42" t="inlineStr">
        <is>
          <t>Almacén</t>
        </is>
      </c>
      <c r="C9" s="42" t="inlineStr">
        <is>
          <t>Surtido por Carro (Batch Picking)</t>
        </is>
      </c>
      <c r="D9" s="42" t="inlineStr">
        <is>
          <t>1. Generar ola de 3 pedidos de clientes distintos.
2. Asignar orden de surtido a carro rodante ('burro').
3. Operador escanea ubicaciones y rollos según ruta óptima.</t>
        </is>
      </c>
      <c r="E9" s="42" t="inlineStr">
        <is>
          <t>• La ruta de recolección minimiza pasos en Nave Atlas.
• El sistema valida que el rollo escaneado corresponda al pedido.</t>
        </is>
      </c>
      <c r="F9" s="49" t="inlineStr">
        <is>
          <t>Aprobado Prototipo</t>
        </is>
      </c>
    </row>
    <row r="10">
      <c r="A10" s="48" t="inlineStr">
        <is>
          <t>UAT-06</t>
        </is>
      </c>
      <c r="B10" s="42" t="inlineStr">
        <is>
          <t>Almacén / Corte</t>
        </is>
      </c>
      <c r="C10" s="42" t="inlineStr">
        <is>
          <t>Corte en Mesa Enrolladora y Genealogía</t>
        </is>
      </c>
      <c r="D10" s="42" t="inlineStr">
        <is>
          <t>1. Enviar rollo padre de 60m a Mesa 2.
2. Cortar 25m para el pedido del cliente.
3. Registrar corte en sistema e imprimir etiqueta para retazo hijo de 35m.</t>
        </is>
      </c>
      <c r="E10" s="42" t="inlineStr">
        <is>
          <t>• Se genera rollo hijo de 25m asignado al pedido.
• El retazo de 35m queda vivo en inventario con trazabilidad del padre.
• Cero metros perdidos en el sistema.</t>
        </is>
      </c>
      <c r="F10" s="49" t="inlineStr">
        <is>
          <t>Aprobado Prototipo</t>
        </is>
      </c>
    </row>
    <row r="11">
      <c r="A11" s="48" t="inlineStr">
        <is>
          <t>UAT-07</t>
        </is>
      </c>
      <c r="B11" s="42" t="inlineStr">
        <is>
          <t>Facturación</t>
        </is>
      </c>
      <c r="C11" s="42" t="inlineStr">
        <is>
          <t>Timbrado Fiscal CFDI 4.0 Post-Corte</t>
        </is>
      </c>
      <c r="D11" s="42" t="inlineStr">
        <is>
          <t>1. Pedido completado con metraje real cortado (24.8m).
2. Enviar a timbrado mediante API CSFacturación.
3. Validar generación de XML y PDF timbrados ante el SAT.</t>
        </is>
      </c>
      <c r="E11" s="42" t="inlineStr">
        <is>
          <t>• La factura refleja el metraje real cortado y el importe exacto.
• XML y PDF disponibles para descarga y envío por correo en segundos.</t>
        </is>
      </c>
      <c r="F11" s="49" t="inlineStr">
        <is>
          <t>Aprobado Prototipo</t>
        </is>
      </c>
    </row>
    <row r="12">
      <c r="A12" s="48" t="inlineStr">
        <is>
          <t>UAT-08</t>
        </is>
      </c>
      <c r="B12" s="42" t="inlineStr">
        <is>
          <t>Planeación</t>
        </is>
      </c>
      <c r="C12" s="42" t="inlineStr">
        <is>
          <t>Motor de Resurtido Formatex Master</t>
        </is>
      </c>
      <c r="D12" s="42" t="inlineStr">
        <is>
          <t>1. Ingestar histórico de ventas de 13 meses CONTPAQi.
2. Correr motor con fórmula S + P + T vs Demanda Proyectada.
3. Verificar sugerencias de compra para SKUs con quiebre.</t>
        </is>
      </c>
      <c r="E12" s="42" t="inlineStr">
        <is>
          <t>• El motor calcula con precisión el stock faltante considerando tránsito.
• Se exporta sugerencia de compra en Excel/PDF para Compras.</t>
        </is>
      </c>
      <c r="F12" s="49" t="inlineStr">
        <is>
          <t>Aprobado Prototipo</t>
        </is>
      </c>
    </row>
    <row r="13">
      <c r="A13" s="48" t="inlineStr">
        <is>
          <t>UAT-09</t>
        </is>
      </c>
      <c r="B13" s="42" t="inlineStr">
        <is>
          <t>Almacén / Operación</t>
        </is>
      </c>
      <c r="C13" s="42" t="inlineStr">
        <is>
          <t>Arranque en Frío (Zona Blanca vs Gris)</t>
        </is>
      </c>
      <c r="D13" s="42" t="inlineStr">
        <is>
          <t>1. Operar pedidos simultáneos: uno de Zona Blanca (etiquetado HU) y uno de Zona Gris (saldo Excel).
2. Validar que la operación de corte y venta nunca se detenga.</t>
        </is>
      </c>
      <c r="E13" s="42" t="inlineStr">
        <is>
          <t>• Cero paros operativos en Nave Atlas.
• Despacho fluido y coexistencia armónica de ambos esquemas.</t>
        </is>
      </c>
      <c r="F13" s="50" t="inlineStr">
        <is>
          <t>Planificado</t>
        </is>
      </c>
    </row>
    <row r="14">
      <c r="A14" s="48" t="inlineStr">
        <is>
          <t>UAT-10</t>
        </is>
      </c>
      <c r="B14" s="42" t="inlineStr">
        <is>
          <t>TI / Almacén</t>
        </is>
      </c>
      <c r="C14" s="42" t="inlineStr">
        <is>
          <t>Movilidad y Robustez Zebra TC22</t>
        </is>
      </c>
      <c r="D14" s="42" t="inlineStr">
        <is>
          <t>1. Realizar 50 escaneos continuos en zonas de baja cobertura Wi-Fi en Nave Atlas.
2. Probar sincronización inmediata de datos al reconectar.</t>
        </is>
      </c>
      <c r="E14" s="42" t="inlineStr">
        <is>
          <t>• La PWA responde ágilmente sin congelamiento ni pérdida de sesión.
• Operación táctil fluida con guantes de almacén.</t>
        </is>
      </c>
      <c r="F14" s="50" t="inlineStr">
        <is>
          <t>Planificado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2026-10-09T16:16:39Z</dcterms:created>
  <dcterms:modified xmlns:dcterms="http://purl.org/dc/terms/" xmlns:xsi="http://www.w3.org/2001/XMLSchema-instance" xsi:type="dcterms:W3CDTF">2026-10-09T16:16:39Z</dcterms:modified>
</cp:coreProperties>
</file>