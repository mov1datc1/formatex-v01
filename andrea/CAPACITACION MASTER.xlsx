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palacios/Downloads/"/>
    </mc:Choice>
  </mc:AlternateContent>
  <xr:revisionPtr revIDLastSave="0" documentId="13_ncr:1_{0DA47559-40FF-BF4E-ACD2-5280BD7A8FF7}" xr6:coauthVersionLast="47" xr6:coauthVersionMax="47" xr10:uidLastSave="{00000000-0000-0000-0000-000000000000}"/>
  <bookViews>
    <workbookView xWindow="0" yWindow="500" windowWidth="25440" windowHeight="15280" xr2:uid="{912B97ED-35E8-4FDE-AD5C-2752BC62F02D}"/>
  </bookViews>
  <sheets>
    <sheet name="CAPACITACION MASTER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" l="1"/>
  <c r="D21" i="2" s="1" a="1"/>
  <c r="D21" i="2" s="1"/>
  <c r="D26" i="2" s="1"/>
  <c r="D22" i="2" l="1" a="1"/>
  <c r="D22" i="2" s="1"/>
  <c r="D25" i="2" a="1"/>
  <c r="D25" i="2" s="1"/>
  <c r="D27" i="2" s="1"/>
  <c r="D24" i="2" a="1"/>
  <c r="D24" i="2" s="1"/>
  <c r="D23" i="2" l="1"/>
  <c r="D28" i="2"/>
  <c r="D30" i="2" a="1"/>
  <c r="D30" i="2" s="1"/>
  <c r="D2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<sst xmlns="http://schemas.openxmlformats.org/spreadsheetml/2006/main" count="81" uniqueCount="75">
  <si>
    <t>Versión antigua con errores #REF!. No usarla para decisiones.</t>
  </si>
  <si>
    <t>Hoja ResT4M</t>
  </si>
  <si>
    <t>!</t>
  </si>
  <si>
    <t>Depende de un archivo externo en el servidor (descontinuados mar 26.xlsx). Hoy muestra #N/D; si el archivo se mueve, se pierde la referencia.</t>
  </si>
  <si>
    <t>Columna DESCONTINUADAS</t>
  </si>
  <si>
    <t>Todas las fórmulas buscan por NOMBRE de tela. Un espacio extra o un nombre distinto hace que la venta, el stock o el tránsito salgan en 0.</t>
  </si>
  <si>
    <t>Nombres de tela</t>
  </si>
  <si>
    <t>7. PUNTOS DE CUIDADO DEL ARCHIVO</t>
  </si>
  <si>
    <t>Se decide si se compra el mínimo o se espera. Esa decisión corresponde a dirección (Ajuste Final).</t>
  </si>
  <si>
    <t>¿Qué pasa si la Cantidad a pedir es menor al Mínimo?</t>
  </si>
  <si>
    <t>?</t>
  </si>
  <si>
    <t>El promedio de 4 meses incluye el mes en curso. Si el mes aún no cierra, la venta se ve más baja y la proyección también.</t>
  </si>
  <si>
    <t>¿Por qué una tela bajó de golpe su proyección?</t>
  </si>
  <si>
    <t>No. La Programación es DEMANDA comprometida (lo que el cliente va a llevar), no inventario.</t>
  </si>
  <si>
    <t>¿La Programación cuenta como inventario?</t>
  </si>
  <si>
    <t>No directamente. Se muestra como referencia, pero la columna "BO o Proy Vta" compara Total Programa contra Proyección de venta (a pesar de su nombre). Revisar el backorder manualmente en telas críticas.</t>
  </si>
  <si>
    <t>¿El Backorder entra en la decisión?</t>
  </si>
  <si>
    <t>Porque el stock + tránsitos no alcanza para cubrir ~4.5 meses de venta, o lo que ya programaron los clientes. La tela de calidad A-D y la restringida no cuentan.</t>
  </si>
  <si>
    <t>¿Por qué sale "Resurtir" si hay stock?</t>
  </si>
  <si>
    <t>6. PREGUNTAS FRECUENTES</t>
  </si>
  <si>
    <t>Validar que el Stock y la Calidad (A-D, Restringido) coincidan con lo físico. Un error aquí cambia directamente el Status.</t>
  </si>
  <si>
    <t>Almacén</t>
  </si>
  <si>
    <t>Revisar BACKORDER y Programaciones de sus clientes. Mantener las Programaciones al día: si no se capturan, el MASTER no las considera.</t>
  </si>
  <si>
    <t>Ventas</t>
  </si>
  <si>
    <t>Filtrar Status = "Resurtir". Revisar la Cantidad negativa, compararla contra el Mínimo del proveedor y el Tiempo de entrega, y pasar la propuesta para el Ajuste Final.</t>
  </si>
  <si>
    <t>Compras</t>
  </si>
  <si>
    <t>5. QUÉ HACE CADA ÁREA CON LA INFORMACIÓN</t>
  </si>
  <si>
    <t>Lectura</t>
  </si>
  <si>
    <t>Status</t>
  </si>
  <si>
    <t>✓</t>
  </si>
  <si>
    <t>Cantidad = A − B</t>
  </si>
  <si>
    <t>=</t>
  </si>
  <si>
    <t>NECESITAREMOS = mayor de d y e</t>
  </si>
  <si>
    <t>B</t>
  </si>
  <si>
    <t>Proy. Prom. Vta = a × 4.5</t>
  </si>
  <si>
    <t>e</t>
  </si>
  <si>
    <t>Total Programa (clientes)</t>
  </si>
  <si>
    <t>d</t>
  </si>
  <si>
    <t>TENDREMOS = S+P+T (b + c)</t>
  </si>
  <si>
    <t>A</t>
  </si>
  <si>
    <t>Tránsitos (todos los meses)</t>
  </si>
  <si>
    <t>c</t>
  </si>
  <si>
    <t>Stock ALM 1 + ALM 9 + T&amp;T</t>
  </si>
  <si>
    <t>b</t>
  </si>
  <si>
    <t>4M Prom Vta (m/mes)</t>
  </si>
  <si>
    <t>a</t>
  </si>
  <si>
    <t>Fila en RESURTIDO</t>
  </si>
  <si>
    <t>Tela a analizar (escríbela aquí)</t>
  </si>
  <si>
    <t>4. EJEMPLO PRÁCTICO (fórmulas en vivo; escribe otra tela en la celda amarilla)</t>
  </si>
  <si>
    <t>• S+P+T = Stock (ALM 1 + ALM 9 + T&amp;T) + todos los Tránsitos  →  lo que TENDREMOS.
• Total Programa = suma de las programaciones de los meses.
• Proy. Prom. Vta = 4M Prom Vta × 4.5  →  venta estimada para ~4.5 meses.
• BO o Proy Vta = el MAYOR entre Total Programa y Proy. Prom. Vta  →  lo que NECESITAREMOS.
• Status: "Ok" si TENDREMOS &gt; NECESITAREMOS; si no, "Resurtir".
• Cantidad = S+P+T − BO o Proy Vta. Negativo = faltante a pedir; positivo = colchón.
• Ajuste Final Ricardo: criterio final de dirección.
• Mínimos: pedido mínimo del proveedor.  • Tiempo: semanas de entrega.  • Proveedor.</t>
  </si>
  <si>
    <t>Columnas de decisión
(columnas BA a BN)</t>
  </si>
  <si>
    <t>Tránsitos y programación
(columnas AB a AZ)</t>
  </si>
  <si>
    <t>• Stock ALM 1, ALM 9 y T&amp;T: metros disponibles (vienen de EXISTENCIA).
• Calidad A, B, C, D y RESTRINGIDO: solo informativo, NO se suman al disponible.
• BACKORDER: metros pendientes de entregar a clientes.</t>
  </si>
  <si>
    <t>Inventario y pendientes
(columnas S a AA)</t>
  </si>
  <si>
    <t>• Libro Asignado: colección a la que pertenece la tela.
• TELA: nombre y color.
• Columnas de meses: metros vendidos en cada uno de los últimos 13 meses.
• Total: suma de los 13 meses.
• Prom. Vta: promedio mensual de los 13 meses.
• 4M Prom Vta: promedio de los ÚLTIMOS 4 MESES.  ← Este es el que se usa para proyectar.</t>
  </si>
  <si>
    <t>Tela y ventas mensuales
(columnas A a R)</t>
  </si>
  <si>
    <t>3. HOJA RESURTIDO: CÓMO LEER UNA FILA (de izquierda a derecha)</t>
  </si>
  <si>
    <t>Qué contiene: compromisos de compra de clientes por mes (SEP a FEB), con cliente, almacén y vendedor.
Para qué sirve: RESURTIDO suma lo programado por tela y por mes. El total programado se compara contra la venta proyectada para decidir.</t>
  </si>
  <si>
    <t>Programaciones</t>
  </si>
  <si>
    <t>Qué contiene: reporte de pedidos pendientes: folio, tela, cantidad solicitada, surtida y PENDIENTE, agente y cliente.
Para qué sirve: muestra cuánto les debemos a los clientes de cada tela (columna BACKORDER en RESURTIDO).</t>
  </si>
  <si>
    <t>BACKORDER</t>
  </si>
  <si>
    <t>Qué contiene: tela con defecto o bloqueada.
• Calidad A: no se vende a clientes especiales
• Calidad B: 20% de descuento
• Calidad C: 40% de descuento
• Calidad D: 60% de descuento
• RESTRINGIDO: tela apartada / no libre para venta
Importante: estos metros se MUESTRAN en RESURTIDO pero NO cuentan como inventario disponible.</t>
  </si>
  <si>
    <t>EXISTENCIA CALIDAD
y RESTRINGIDO</t>
  </si>
  <si>
    <t>Qué contiene: metros disponibles por tela en tres bloques:
• ALMACÉN 1 (columnas B:C)
• ALMACÉN 9 (columnas I:J)
• TELARES / T&amp;T (columnas L:M)
Para qué sirve: RESURTIDO toma de aquí el stock de cada tela.</t>
  </si>
  <si>
    <t>EXISTENCIA</t>
  </si>
  <si>
    <t>Qué contiene: cada factura del mes con código, tela, cliente, fecha, almacén, precio, cantidad (metros) e importe.
Para qué sirve: RESURTIDO suma la columna CANTIDAD por tela para obtener la venta de cada mes.
Cuidado: el nombre de la tela debe escribirse EXACTAMENTE igual que en RESURTIDO; si no, la venta no se suma.</t>
  </si>
  <si>
    <t>VENTAS del mes
(VENTAS ENE … DIC, VENTAS SEP-2026)</t>
  </si>
  <si>
    <t>2. HOJAS DE DATOS (se actualizan con información del sistema)</t>
  </si>
  <si>
    <t>El MASTER junta en un solo archivo las VENTAS, el INVENTARIO, los PEDIDOS PENDIENTES (backorder), lo que ya viene EN TRÁNSITO y lo que los clientes tienen PROGRAMADO.
Con eso calcula, tela por tela, si lo que TENDREMOS alcanza para lo que NECESITAREMOS, y marca "Ok" o "Resurtir".
Flujo:  HOJAS DE DATOS  →  HOJA RESURTIDO (cálculo)  →  DECISIÓN DE COMPRA</t>
  </si>
  <si>
    <t>Qué hace</t>
  </si>
  <si>
    <t>1. ¿QUÉ ES EL MASTER?</t>
  </si>
  <si>
    <t>Objetivo: que cualquier persona del equipo entienda de dónde sale cada número del MASTER y qué acción tomar con él. Las imágenes de la derecha son capturas reales del archivo.</t>
  </si>
  <si>
    <t>CAPACITACIÓN: CÓMO LEER Y USAR EL MASTER DE RESURTIDO</t>
  </si>
  <si>
    <t>Bloques por mes (Septiembre, Octubre, Noviembre, Diciembre, Enero).
• Tránsito: lo que ya viene en camino; el encabezado indica el proveedor / factura (KAAN, KENTEX, CULP, STI &amp; Brentwood, etc.).
• Programación: lo que los clientes ya comprometieron ese mes (viene de Programaciones).
El master esta a 4 meses o  5 meses dependera del trayecto del año</t>
  </si>
  <si>
    <t>CASSIS 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</si>
</sst>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[Red]\(#,##0.0\);\-"/>
    <numFmt numFmtId="165" formatCode="#,##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C00000"/>
      <name val="Aptos Narrow"/>
      <family val="2"/>
      <scheme val="minor"/>
    </font>
    <font>
      <b/>
      <sz val="13"/>
      <color rgb="FF1F3864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8"/>
      <color rgb="FFFFFFF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3864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4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vertical="center"/>
    </xf>
    <xf numFmtId="164" fontId="1" fillId="0" borderId="3" xfId="0" applyNumberFormat="1" applyFont="1" applyBorder="1" applyAlignment="1">
      <alignment horizontal="left" vertical="center"/>
    </xf>
    <xf numFmtId="0" fontId="5" fillId="0" borderId="0" xfId="0" quotePrefix="1" applyFont="1" applyAlignment="1">
      <alignment horizontal="center" vertical="center"/>
    </xf>
    <xf numFmtId="165" fontId="1" fillId="4" borderId="3" xfId="0" applyNumberFormat="1" applyFont="1" applyFill="1" applyBorder="1" applyAlignment="1">
      <alignment horizontal="left" vertical="center"/>
    </xf>
    <xf numFmtId="0" fontId="1" fillId="4" borderId="3" xfId="0" applyFont="1" applyFill="1" applyBorder="1" applyAlignment="1">
      <alignment vertical="center"/>
    </xf>
    <xf numFmtId="165" fontId="0" fillId="0" borderId="3" xfId="0" applyNumberFormat="1" applyBorder="1" applyAlignment="1">
      <alignment horizontal="left" vertical="center"/>
    </xf>
    <xf numFmtId="165" fontId="1" fillId="5" borderId="3" xfId="0" applyNumberFormat="1" applyFont="1" applyFill="1" applyBorder="1" applyAlignment="1">
      <alignment horizontal="left" vertical="center"/>
    </xf>
    <xf numFmtId="0" fontId="1" fillId="5" borderId="3" xfId="0" applyFont="1" applyFill="1" applyBorder="1" applyAlignment="1">
      <alignment vertical="center"/>
    </xf>
    <xf numFmtId="1" fontId="0" fillId="0" borderId="3" xfId="0" applyNumberFormat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/>
    </xf>
    <xf numFmtId="0" fontId="0" fillId="0" borderId="4" xfId="0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0" fontId="3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0" fontId="7" fillId="7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1"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5" Type="http://schemas.openxmlformats.org/officeDocument/2006/relationships/image" Target="../media/image5.tmp"/><Relationship Id="rId4" Type="http://schemas.openxmlformats.org/officeDocument/2006/relationships/image" Target="../media/image4.tmp"/><Relationship Id="rId9" Type="http://schemas.openxmlformats.org/officeDocument/2006/relationships/image" Target="../media/image9.t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76200</xdr:rowOff>
    </xdr:from>
    <xdr:ext cx="20028571" cy="694182"/>
    <xdr:pic>
      <xdr:nvPicPr>
        <xdr:cNvPr id="2" name="Ref_IMG1">
          <a:extLst>
            <a:ext uri="{FF2B5EF4-FFF2-40B4-BE49-F238E27FC236}">
              <a16:creationId xmlns:a16="http://schemas.microsoft.com/office/drawing/2014/main" id="{B408FA67-8D56-4EB8-B7EE-CE9867D26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1409700"/>
          <a:ext cx="20028571" cy="694182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</xdr:row>
      <xdr:rowOff>76200</xdr:rowOff>
    </xdr:from>
    <xdr:ext cx="13733333" cy="1179725"/>
    <xdr:pic>
      <xdr:nvPicPr>
        <xdr:cNvPr id="3" name="Ref_IMG2">
          <a:extLst>
            <a:ext uri="{FF2B5EF4-FFF2-40B4-BE49-F238E27FC236}">
              <a16:creationId xmlns:a16="http://schemas.microsoft.com/office/drawing/2014/main" id="{4BAB0D0A-CB03-44C2-AA18-9429A194B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0" y="1600200"/>
          <a:ext cx="13733333" cy="117972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76200</xdr:rowOff>
    </xdr:from>
    <xdr:ext cx="10971428" cy="1476705"/>
    <xdr:pic>
      <xdr:nvPicPr>
        <xdr:cNvPr id="4" name="Ref_IMG3">
          <a:extLst>
            <a:ext uri="{FF2B5EF4-FFF2-40B4-BE49-F238E27FC236}">
              <a16:creationId xmlns:a16="http://schemas.microsoft.com/office/drawing/2014/main" id="{352174DD-B7EA-4FF4-87B6-03106D23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00" y="1790700"/>
          <a:ext cx="10971428" cy="147670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10</xdr:row>
      <xdr:rowOff>76200</xdr:rowOff>
    </xdr:from>
    <xdr:ext cx="15714286" cy="1045633"/>
    <xdr:pic>
      <xdr:nvPicPr>
        <xdr:cNvPr id="5" name="Ref_IMG4">
          <a:extLst>
            <a:ext uri="{FF2B5EF4-FFF2-40B4-BE49-F238E27FC236}">
              <a16:creationId xmlns:a16="http://schemas.microsoft.com/office/drawing/2014/main" id="{1DF9BCDD-FF4B-41B4-84BC-399F180B3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00" y="1981200"/>
          <a:ext cx="15714286" cy="104563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11</xdr:row>
      <xdr:rowOff>76200</xdr:rowOff>
    </xdr:from>
    <xdr:ext cx="13419047" cy="1395738"/>
    <xdr:pic>
      <xdr:nvPicPr>
        <xdr:cNvPr id="6" name="Ref_IMG5">
          <a:extLst>
            <a:ext uri="{FF2B5EF4-FFF2-40B4-BE49-F238E27FC236}">
              <a16:creationId xmlns:a16="http://schemas.microsoft.com/office/drawing/2014/main" id="{7467076D-E82A-40B6-907C-A00B433E5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00" y="2171700"/>
          <a:ext cx="13419047" cy="1395738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13</xdr:row>
      <xdr:rowOff>76200</xdr:rowOff>
    </xdr:from>
    <xdr:ext cx="15352381" cy="1766339"/>
    <xdr:pic>
      <xdr:nvPicPr>
        <xdr:cNvPr id="7" name="Ref_IMG6">
          <a:extLst>
            <a:ext uri="{FF2B5EF4-FFF2-40B4-BE49-F238E27FC236}">
              <a16:creationId xmlns:a16="http://schemas.microsoft.com/office/drawing/2014/main" id="{662167E3-9091-4DBB-8F56-A8CAA040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00" y="2552700"/>
          <a:ext cx="15352381" cy="1766339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14</xdr:row>
      <xdr:rowOff>76200</xdr:rowOff>
    </xdr:from>
    <xdr:ext cx="7123809" cy="2413000"/>
    <xdr:pic>
      <xdr:nvPicPr>
        <xdr:cNvPr id="8" name="Ref_IMG7">
          <a:extLst>
            <a:ext uri="{FF2B5EF4-FFF2-40B4-BE49-F238E27FC236}">
              <a16:creationId xmlns:a16="http://schemas.microsoft.com/office/drawing/2014/main" id="{F411AD73-8D2B-4171-A3D0-4F82D41EC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00" y="2743200"/>
          <a:ext cx="7123809" cy="24130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15</xdr:row>
      <xdr:rowOff>76200</xdr:rowOff>
    </xdr:from>
    <xdr:ext cx="9009524" cy="2413000"/>
    <xdr:pic>
      <xdr:nvPicPr>
        <xdr:cNvPr id="9" name="Ref_IMG8">
          <a:extLst>
            <a:ext uri="{FF2B5EF4-FFF2-40B4-BE49-F238E27FC236}">
              <a16:creationId xmlns:a16="http://schemas.microsoft.com/office/drawing/2014/main" id="{1525748B-130A-4618-939D-72C03178C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10000" y="2933700"/>
          <a:ext cx="9009524" cy="24130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16</xdr:row>
      <xdr:rowOff>76200</xdr:rowOff>
    </xdr:from>
    <xdr:ext cx="11457143" cy="2366866"/>
    <xdr:pic>
      <xdr:nvPicPr>
        <xdr:cNvPr id="10" name="Ref_IMG9">
          <a:extLst>
            <a:ext uri="{FF2B5EF4-FFF2-40B4-BE49-F238E27FC236}">
              <a16:creationId xmlns:a16="http://schemas.microsoft.com/office/drawing/2014/main" id="{C9D60572-1CE8-400C-986E-E5E72DD49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10000" y="3124200"/>
          <a:ext cx="11457143" cy="236686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super/Downloads/MASTER%2023%20DE%20SEPTIEMBRE.xlsx" TargetMode="External"/><Relationship Id="rId1" Type="http://schemas.openxmlformats.org/officeDocument/2006/relationships/externalLinkPath" Target="file:///C:/Users/super/Downloads/MASTER%2023%20DE%20SEPTIEM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gramaciones"/>
      <sheetName val="TD PROGRAMACIONES"/>
      <sheetName val="RESURTIDO"/>
      <sheetName val="CONTAINER"/>
      <sheetName val="DESCONTINUADAS"/>
      <sheetName val="Programaciones MU "/>
      <sheetName val="MUESTRAS "/>
      <sheetName val="EXISTENCIA"/>
      <sheetName val="ResT4M"/>
      <sheetName val="EXISTENCIA CALIDAD"/>
      <sheetName val="TDINAMICA BO MUESTRAS"/>
      <sheetName val="RESTRINGIDO"/>
      <sheetName val="BACKORDER"/>
      <sheetName val="TDINAMICA BO"/>
      <sheetName val="VENTAS DIC"/>
      <sheetName val="VENTAS CALIDAD"/>
      <sheetName val="VENTAS NOV"/>
      <sheetName val="VENTAS OCT"/>
      <sheetName val="VENTAS SEP"/>
      <sheetName val="VENTAS AGO"/>
      <sheetName val="VENTAS JUL"/>
      <sheetName val="VENTAS JUN"/>
      <sheetName val="VENTAS MAY"/>
      <sheetName val="VENTAS ABR"/>
      <sheetName val="VENTAS MZO"/>
      <sheetName val="VENTAS FEB"/>
      <sheetName val="VENTAS ENE"/>
      <sheetName val="VENTAS SEP-2026"/>
      <sheetName val="TOTALES POR MUESTRARIOS MAYO26"/>
      <sheetName val="PRECIOS MUESTRARIOS"/>
      <sheetName val="OP LINE AGO 2024"/>
      <sheetName val="STOCK"/>
    </sheetNames>
    <sheetDataSet>
      <sheetData sheetId="0"/>
      <sheetData sheetId="1"/>
      <sheetData sheetId="2">
        <row r="1">
          <cell r="B1">
            <v>1</v>
          </cell>
          <cell r="R1">
            <v>16</v>
          </cell>
          <cell r="S1">
            <v>17</v>
          </cell>
          <cell r="T1">
            <v>18</v>
          </cell>
          <cell r="U1">
            <v>19</v>
          </cell>
          <cell r="BA1">
            <v>50</v>
          </cell>
          <cell r="BB1">
            <v>51</v>
          </cell>
          <cell r="BF1">
            <v>55</v>
          </cell>
        </row>
        <row r="2">
          <cell r="B2" t="str">
            <v>6 Semanas</v>
          </cell>
          <cell r="R2">
            <v>110208</v>
          </cell>
          <cell r="S2">
            <v>461273</v>
          </cell>
          <cell r="T2">
            <v>27011</v>
          </cell>
          <cell r="U2">
            <v>191240</v>
          </cell>
        </row>
        <row r="3">
          <cell r="B3" t="str">
            <v>IN AND OUT</v>
          </cell>
        </row>
        <row r="4">
          <cell r="B4" t="str">
            <v>12 Semanas</v>
          </cell>
          <cell r="R4">
            <v>113667.7091666667</v>
          </cell>
          <cell r="S4">
            <v>530724.66000000027</v>
          </cell>
          <cell r="T4">
            <v>30950.910000000007</v>
          </cell>
          <cell r="U4">
            <v>253875.46</v>
          </cell>
          <cell r="BA4">
            <v>1154495.03</v>
          </cell>
          <cell r="BB4">
            <v>429678</v>
          </cell>
          <cell r="BF4">
            <v>0</v>
          </cell>
        </row>
        <row r="5">
          <cell r="B5" t="str">
            <v>14 Semanas</v>
          </cell>
        </row>
        <row r="6">
          <cell r="B6" t="str">
            <v>TELA</v>
          </cell>
          <cell r="R6" t="str">
            <v>4M Prom Vta</v>
          </cell>
          <cell r="S6" t="str">
            <v>Stock al  ALM 1</v>
          </cell>
          <cell r="T6" t="str">
            <v>Stock
 ALM 9</v>
          </cell>
          <cell r="U6" t="str">
            <v>Stock 
T &amp; T</v>
          </cell>
          <cell r="BA6" t="str">
            <v>S+P+T</v>
          </cell>
          <cell r="BB6" t="str">
            <v>Total Programa</v>
          </cell>
          <cell r="BF6" t="str">
            <v>Status</v>
          </cell>
        </row>
        <row r="7">
          <cell r="B7" t="str">
            <v>ACOSTA SUNSET</v>
          </cell>
          <cell r="R7">
            <v>12.025</v>
          </cell>
          <cell r="S7">
            <v>380.3</v>
          </cell>
          <cell r="T7">
            <v>0</v>
          </cell>
          <cell r="U7">
            <v>0</v>
          </cell>
          <cell r="BA7">
            <v>380.3</v>
          </cell>
          <cell r="BB7">
            <v>0</v>
          </cell>
          <cell r="BF7" t="str">
            <v>Ok</v>
          </cell>
        </row>
        <row r="8">
          <cell r="B8" t="str">
            <v>ALANIS ASH</v>
          </cell>
          <cell r="R8">
            <v>124.175</v>
          </cell>
          <cell r="S8">
            <v>1315.2</v>
          </cell>
          <cell r="T8">
            <v>31.3</v>
          </cell>
          <cell r="U8">
            <v>0</v>
          </cell>
          <cell r="BA8">
            <v>1346.5</v>
          </cell>
          <cell r="BB8">
            <v>560</v>
          </cell>
          <cell r="BF8" t="str">
            <v>Ok</v>
          </cell>
        </row>
        <row r="9">
          <cell r="B9" t="str">
            <v>ALANIS BEIGE</v>
          </cell>
          <cell r="R9">
            <v>121.22500000000001</v>
          </cell>
          <cell r="S9">
            <v>1438.5</v>
          </cell>
          <cell r="T9">
            <v>38.6</v>
          </cell>
          <cell r="U9">
            <v>1240.2</v>
          </cell>
          <cell r="BA9">
            <v>2717.3</v>
          </cell>
          <cell r="BB9">
            <v>450</v>
          </cell>
          <cell r="BF9" t="str">
            <v>Ok</v>
          </cell>
        </row>
        <row r="10">
          <cell r="B10" t="str">
            <v>ALANIS CURRY</v>
          </cell>
          <cell r="R10">
            <v>0</v>
          </cell>
          <cell r="S10">
            <v>882</v>
          </cell>
          <cell r="T10">
            <v>0</v>
          </cell>
          <cell r="U10">
            <v>0</v>
          </cell>
          <cell r="BA10">
            <v>882</v>
          </cell>
          <cell r="BB10">
            <v>0</v>
          </cell>
          <cell r="BF10" t="str">
            <v>Ok</v>
          </cell>
        </row>
        <row r="11">
          <cell r="B11" t="str">
            <v>ALANIS DOVE</v>
          </cell>
          <cell r="R11">
            <v>73</v>
          </cell>
          <cell r="S11">
            <v>483.9</v>
          </cell>
          <cell r="T11">
            <v>32.1</v>
          </cell>
          <cell r="U11">
            <v>1220.8</v>
          </cell>
          <cell r="BA11">
            <v>1736.8</v>
          </cell>
          <cell r="BB11">
            <v>1045</v>
          </cell>
          <cell r="BF11" t="str">
            <v>Ok</v>
          </cell>
        </row>
        <row r="12">
          <cell r="B12" t="str">
            <v>ALANIS INDIGO</v>
          </cell>
          <cell r="R12">
            <v>20.75</v>
          </cell>
          <cell r="S12">
            <v>1161.4000000000001</v>
          </cell>
          <cell r="T12">
            <v>45.6</v>
          </cell>
          <cell r="U12">
            <v>0</v>
          </cell>
          <cell r="BA12">
            <v>1207</v>
          </cell>
          <cell r="BB12">
            <v>400</v>
          </cell>
          <cell r="BF12" t="str">
            <v>Ok</v>
          </cell>
        </row>
        <row r="13">
          <cell r="B13" t="str">
            <v>ALANIS IVORY</v>
          </cell>
          <cell r="R13">
            <v>118.47500000000001</v>
          </cell>
          <cell r="S13">
            <v>1128.3</v>
          </cell>
          <cell r="T13">
            <v>56.1</v>
          </cell>
          <cell r="U13">
            <v>0</v>
          </cell>
          <cell r="BA13">
            <v>1184.3999999999999</v>
          </cell>
          <cell r="BB13">
            <v>0</v>
          </cell>
          <cell r="BF13" t="str">
            <v>Ok</v>
          </cell>
        </row>
        <row r="14">
          <cell r="B14" t="str">
            <v>ALANIS STEEL</v>
          </cell>
          <cell r="R14">
            <v>7.875</v>
          </cell>
          <cell r="S14">
            <v>1254.5</v>
          </cell>
          <cell r="T14">
            <v>30.75</v>
          </cell>
          <cell r="U14">
            <v>0</v>
          </cell>
          <cell r="BA14">
            <v>1285.25</v>
          </cell>
          <cell r="BB14">
            <v>0</v>
          </cell>
          <cell r="BF14" t="str">
            <v>Ok</v>
          </cell>
        </row>
        <row r="15">
          <cell r="B15" t="str">
            <v>ALASKA IVORY</v>
          </cell>
          <cell r="R15">
            <v>5.2125000000000004</v>
          </cell>
          <cell r="S15">
            <v>391.6</v>
          </cell>
          <cell r="T15">
            <v>17.2</v>
          </cell>
          <cell r="U15">
            <v>0</v>
          </cell>
          <cell r="BA15">
            <v>408.8</v>
          </cell>
          <cell r="BB15">
            <v>0</v>
          </cell>
          <cell r="BF15" t="str">
            <v>Ok</v>
          </cell>
        </row>
        <row r="16">
          <cell r="B16" t="str">
            <v>ALBA BRICK</v>
          </cell>
          <cell r="R16">
            <v>14.75</v>
          </cell>
          <cell r="S16">
            <v>214.2</v>
          </cell>
          <cell r="T16">
            <v>0</v>
          </cell>
          <cell r="U16">
            <v>0</v>
          </cell>
          <cell r="BA16">
            <v>214.2</v>
          </cell>
          <cell r="BB16">
            <v>0</v>
          </cell>
          <cell r="BF16" t="str">
            <v>Ok</v>
          </cell>
        </row>
        <row r="17">
          <cell r="B17" t="str">
            <v>ALBANI MERCURY</v>
          </cell>
          <cell r="R17">
            <v>119.7375</v>
          </cell>
          <cell r="S17">
            <v>1480.6</v>
          </cell>
          <cell r="T17">
            <v>15.95</v>
          </cell>
          <cell r="U17">
            <v>2278.4</v>
          </cell>
          <cell r="BA17">
            <v>3774.95</v>
          </cell>
          <cell r="BB17">
            <v>1260</v>
          </cell>
          <cell r="BF17" t="str">
            <v>Ok</v>
          </cell>
        </row>
        <row r="18">
          <cell r="B18" t="str">
            <v>ALBANI SAND</v>
          </cell>
          <cell r="R18">
            <v>156.92500000000001</v>
          </cell>
          <cell r="S18">
            <v>976.9</v>
          </cell>
          <cell r="T18">
            <v>21.4</v>
          </cell>
          <cell r="U18">
            <v>1288.8</v>
          </cell>
          <cell r="BA18">
            <v>2287.1</v>
          </cell>
          <cell r="BB18">
            <v>850</v>
          </cell>
          <cell r="BF18" t="str">
            <v>Ok</v>
          </cell>
        </row>
        <row r="19">
          <cell r="B19" t="str">
            <v>ALBANI SILVER</v>
          </cell>
          <cell r="R19">
            <v>522.5</v>
          </cell>
          <cell r="S19">
            <v>1168.2</v>
          </cell>
          <cell r="T19">
            <v>0</v>
          </cell>
          <cell r="U19">
            <v>0</v>
          </cell>
          <cell r="BA19">
            <v>2368.1999999999998</v>
          </cell>
          <cell r="BB19">
            <v>1750</v>
          </cell>
          <cell r="BF19" t="str">
            <v>Ok</v>
          </cell>
        </row>
        <row r="20">
          <cell r="B20" t="str">
            <v>ALBANI SNOW</v>
          </cell>
          <cell r="R20">
            <v>21.274999999999999</v>
          </cell>
          <cell r="S20">
            <v>1133.8499999999999</v>
          </cell>
          <cell r="T20">
            <v>39.950000000000003</v>
          </cell>
          <cell r="U20">
            <v>1192.9000000000001</v>
          </cell>
          <cell r="BA20">
            <v>2366.6999999999998</v>
          </cell>
          <cell r="BB20">
            <v>50</v>
          </cell>
          <cell r="BF20" t="str">
            <v>Ok</v>
          </cell>
        </row>
        <row r="21">
          <cell r="B21" t="str">
            <v>ALISTAIR CHALK</v>
          </cell>
          <cell r="R21">
            <v>69.525000000000006</v>
          </cell>
          <cell r="S21">
            <v>497.1</v>
          </cell>
          <cell r="T21">
            <v>32.39</v>
          </cell>
          <cell r="U21">
            <v>0</v>
          </cell>
          <cell r="BA21">
            <v>529.49</v>
          </cell>
          <cell r="BB21">
            <v>250</v>
          </cell>
          <cell r="BF21" t="str">
            <v>Ok</v>
          </cell>
        </row>
        <row r="22">
          <cell r="B22" t="str">
            <v>ALISTAIR CLOUD</v>
          </cell>
          <cell r="R22">
            <v>23.5</v>
          </cell>
          <cell r="S22">
            <v>1566.1</v>
          </cell>
          <cell r="T22">
            <v>0</v>
          </cell>
          <cell r="U22">
            <v>0</v>
          </cell>
          <cell r="BA22">
            <v>1566.1</v>
          </cell>
          <cell r="BB22">
            <v>0</v>
          </cell>
          <cell r="BF22" t="str">
            <v>Ok</v>
          </cell>
        </row>
        <row r="23">
          <cell r="B23" t="str">
            <v>ALISTAIR COTTON</v>
          </cell>
          <cell r="R23">
            <v>77.400000000000006</v>
          </cell>
          <cell r="S23">
            <v>1496.2</v>
          </cell>
          <cell r="T23">
            <v>41.6</v>
          </cell>
          <cell r="U23">
            <v>0</v>
          </cell>
          <cell r="BA23">
            <v>1537.8</v>
          </cell>
          <cell r="BB23">
            <v>75</v>
          </cell>
          <cell r="BF23" t="str">
            <v>Ok</v>
          </cell>
        </row>
        <row r="24">
          <cell r="B24" t="str">
            <v>ALISTAIR NAVY</v>
          </cell>
          <cell r="R24">
            <v>7</v>
          </cell>
          <cell r="S24">
            <v>286.89999999999998</v>
          </cell>
          <cell r="T24">
            <v>0</v>
          </cell>
          <cell r="U24">
            <v>0</v>
          </cell>
          <cell r="BA24">
            <v>286.89999999999998</v>
          </cell>
          <cell r="BB24">
            <v>0</v>
          </cell>
          <cell r="BF24" t="str">
            <v>Ok</v>
          </cell>
        </row>
        <row r="25">
          <cell r="B25" t="str">
            <v>ALISTAIR NICKEL</v>
          </cell>
          <cell r="R25">
            <v>0.6</v>
          </cell>
          <cell r="S25">
            <v>159.19999999999999</v>
          </cell>
          <cell r="T25">
            <v>5.3</v>
          </cell>
          <cell r="U25">
            <v>0</v>
          </cell>
          <cell r="BA25">
            <v>164.5</v>
          </cell>
          <cell r="BB25">
            <v>0</v>
          </cell>
          <cell r="BF25" t="str">
            <v>Ok</v>
          </cell>
        </row>
        <row r="26">
          <cell r="B26" t="str">
            <v>ALISTAIR SINATRA</v>
          </cell>
          <cell r="R26">
            <v>0</v>
          </cell>
          <cell r="S26">
            <v>700.4</v>
          </cell>
          <cell r="T26">
            <v>17.2</v>
          </cell>
          <cell r="U26">
            <v>0</v>
          </cell>
          <cell r="BA26">
            <v>717.6</v>
          </cell>
          <cell r="BB26">
            <v>0</v>
          </cell>
          <cell r="BF26" t="str">
            <v>Ok</v>
          </cell>
        </row>
        <row r="27">
          <cell r="B27" t="str">
            <v>ALISTAIR STEEL</v>
          </cell>
          <cell r="R27">
            <v>12.75</v>
          </cell>
          <cell r="S27">
            <v>53</v>
          </cell>
          <cell r="T27">
            <v>27.6</v>
          </cell>
          <cell r="U27">
            <v>0</v>
          </cell>
          <cell r="BA27">
            <v>80.599999999999994</v>
          </cell>
          <cell r="BB27">
            <v>0</v>
          </cell>
          <cell r="BF27" t="str">
            <v>Ok</v>
          </cell>
        </row>
        <row r="28">
          <cell r="B28" t="str">
            <v>ALISTAIR SUGAR</v>
          </cell>
          <cell r="R28">
            <v>23.200000000000003</v>
          </cell>
          <cell r="S28">
            <v>141.69999999999999</v>
          </cell>
          <cell r="T28">
            <v>30.1</v>
          </cell>
          <cell r="U28">
            <v>0</v>
          </cell>
          <cell r="BA28">
            <v>171.79999999999998</v>
          </cell>
          <cell r="BB28">
            <v>0</v>
          </cell>
          <cell r="BF28" t="str">
            <v>Ok</v>
          </cell>
        </row>
        <row r="29">
          <cell r="B29" t="str">
            <v>ALPACA BEIGE</v>
          </cell>
          <cell r="R29">
            <v>6.65</v>
          </cell>
          <cell r="S29">
            <v>78.099999999999994</v>
          </cell>
          <cell r="T29">
            <v>0</v>
          </cell>
          <cell r="U29">
            <v>98.8</v>
          </cell>
          <cell r="BA29">
            <v>176.89999999999998</v>
          </cell>
          <cell r="BB29">
            <v>0</v>
          </cell>
          <cell r="BF29" t="str">
            <v>Ok</v>
          </cell>
        </row>
        <row r="30">
          <cell r="B30" t="str">
            <v>ALPACA BUSH</v>
          </cell>
          <cell r="R30">
            <v>15.9</v>
          </cell>
          <cell r="S30">
            <v>82.7</v>
          </cell>
          <cell r="T30">
            <v>11.1</v>
          </cell>
          <cell r="U30">
            <v>48.5</v>
          </cell>
          <cell r="BA30">
            <v>142.30000000000001</v>
          </cell>
          <cell r="BB30">
            <v>0</v>
          </cell>
          <cell r="BF30" t="str">
            <v>Ok</v>
          </cell>
        </row>
        <row r="31">
          <cell r="B31" t="str">
            <v>ALPACA MIDNIGHT</v>
          </cell>
          <cell r="R31">
            <v>3.625</v>
          </cell>
          <cell r="S31">
            <v>120.1</v>
          </cell>
          <cell r="T31">
            <v>0</v>
          </cell>
          <cell r="U31">
            <v>0</v>
          </cell>
          <cell r="BA31">
            <v>120.1</v>
          </cell>
          <cell r="BB31">
            <v>20</v>
          </cell>
          <cell r="BF31" t="str">
            <v>Ok</v>
          </cell>
        </row>
        <row r="32">
          <cell r="B32" t="str">
            <v>ALPACA NATURE</v>
          </cell>
          <cell r="R32">
            <v>0</v>
          </cell>
          <cell r="S32">
            <v>329.2</v>
          </cell>
          <cell r="T32">
            <v>15.85</v>
          </cell>
          <cell r="U32">
            <v>0</v>
          </cell>
          <cell r="BA32">
            <v>345.05</v>
          </cell>
          <cell r="BB32">
            <v>0</v>
          </cell>
          <cell r="BF32" t="str">
            <v>Ok</v>
          </cell>
        </row>
        <row r="33">
          <cell r="B33" t="str">
            <v>ALPACA SPICE</v>
          </cell>
          <cell r="R33">
            <v>9.9</v>
          </cell>
          <cell r="S33">
            <v>200.8</v>
          </cell>
          <cell r="T33">
            <v>0</v>
          </cell>
          <cell r="U33">
            <v>0</v>
          </cell>
          <cell r="BA33">
            <v>200.8</v>
          </cell>
          <cell r="BB33">
            <v>0</v>
          </cell>
          <cell r="BF33" t="str">
            <v>Ok</v>
          </cell>
        </row>
        <row r="34">
          <cell r="B34" t="str">
            <v>ALPS BLACKTIE</v>
          </cell>
          <cell r="R34">
            <v>3.625</v>
          </cell>
          <cell r="S34">
            <v>96.8</v>
          </cell>
          <cell r="T34">
            <v>0</v>
          </cell>
          <cell r="U34">
            <v>0</v>
          </cell>
          <cell r="BA34">
            <v>96.8</v>
          </cell>
          <cell r="BB34">
            <v>0</v>
          </cell>
          <cell r="BF34" t="str">
            <v>Ok</v>
          </cell>
        </row>
        <row r="35">
          <cell r="B35" t="str">
            <v>ALPS CHAMPAGNE</v>
          </cell>
          <cell r="R35">
            <v>0.75</v>
          </cell>
          <cell r="S35">
            <v>62.85</v>
          </cell>
          <cell r="T35">
            <v>0</v>
          </cell>
          <cell r="U35">
            <v>205.2</v>
          </cell>
          <cell r="BA35">
            <v>268.05</v>
          </cell>
          <cell r="BB35">
            <v>0</v>
          </cell>
          <cell r="BF35" t="str">
            <v>Ok</v>
          </cell>
        </row>
        <row r="36">
          <cell r="B36" t="str">
            <v>ALPS DUSK</v>
          </cell>
          <cell r="R36">
            <v>2.5</v>
          </cell>
          <cell r="S36">
            <v>191.4</v>
          </cell>
          <cell r="T36">
            <v>24.3</v>
          </cell>
          <cell r="U36">
            <v>0</v>
          </cell>
          <cell r="BA36">
            <v>215.70000000000002</v>
          </cell>
          <cell r="BB36">
            <v>0</v>
          </cell>
          <cell r="BF36" t="str">
            <v>Ok</v>
          </cell>
        </row>
        <row r="37">
          <cell r="B37" t="str">
            <v>AMARA BLACK</v>
          </cell>
          <cell r="R37">
            <v>47.95</v>
          </cell>
          <cell r="S37">
            <v>147.19999999999999</v>
          </cell>
          <cell r="T37">
            <v>24.2</v>
          </cell>
          <cell r="U37">
            <v>0</v>
          </cell>
          <cell r="BA37">
            <v>171.39999999999998</v>
          </cell>
          <cell r="BB37">
            <v>50</v>
          </cell>
          <cell r="BF37" t="str">
            <v>Resurtir</v>
          </cell>
        </row>
        <row r="38">
          <cell r="B38" t="str">
            <v>AMARA CHALK</v>
          </cell>
          <cell r="R38">
            <v>47.924999999999997</v>
          </cell>
          <cell r="S38">
            <v>49.7</v>
          </cell>
          <cell r="T38">
            <v>17.7</v>
          </cell>
          <cell r="U38">
            <v>507</v>
          </cell>
          <cell r="BA38">
            <v>574.4</v>
          </cell>
          <cell r="BB38">
            <v>300</v>
          </cell>
          <cell r="BF38" t="str">
            <v>Ok</v>
          </cell>
        </row>
        <row r="39">
          <cell r="B39" t="str">
            <v>AMARA CREAM</v>
          </cell>
          <cell r="R39">
            <v>80.650000000000006</v>
          </cell>
          <cell r="S39">
            <v>0</v>
          </cell>
          <cell r="T39">
            <v>34.1</v>
          </cell>
          <cell r="U39">
            <v>0</v>
          </cell>
          <cell r="BA39">
            <v>552.1</v>
          </cell>
          <cell r="BB39">
            <v>650</v>
          </cell>
          <cell r="BF39" t="str">
            <v>Resurtir</v>
          </cell>
        </row>
        <row r="40">
          <cell r="B40" t="str">
            <v>AMARA SAND</v>
          </cell>
          <cell r="R40">
            <v>200.375</v>
          </cell>
          <cell r="S40">
            <v>43.8</v>
          </cell>
          <cell r="T40">
            <v>45.6</v>
          </cell>
          <cell r="U40">
            <v>0</v>
          </cell>
          <cell r="BA40">
            <v>589.4</v>
          </cell>
          <cell r="BB40">
            <v>650</v>
          </cell>
          <cell r="BF40" t="str">
            <v>Resurtir</v>
          </cell>
        </row>
        <row r="41">
          <cell r="B41" t="str">
            <v>AMAZON FOG</v>
          </cell>
          <cell r="R41">
            <v>174.95</v>
          </cell>
          <cell r="S41">
            <v>328.7</v>
          </cell>
          <cell r="T41">
            <v>5</v>
          </cell>
          <cell r="U41">
            <v>1020.8</v>
          </cell>
          <cell r="BA41">
            <v>1354.5</v>
          </cell>
          <cell r="BB41">
            <v>900</v>
          </cell>
          <cell r="BF41" t="str">
            <v>Ok</v>
          </cell>
        </row>
        <row r="42">
          <cell r="B42" t="str">
            <v>AMAZON MERCURY</v>
          </cell>
          <cell r="R42">
            <v>77.45</v>
          </cell>
          <cell r="S42">
            <v>287.7</v>
          </cell>
          <cell r="T42">
            <v>16.5</v>
          </cell>
          <cell r="U42">
            <v>0</v>
          </cell>
          <cell r="BA42">
            <v>785.2</v>
          </cell>
          <cell r="BB42">
            <v>350</v>
          </cell>
          <cell r="BF42" t="str">
            <v>Ok</v>
          </cell>
        </row>
        <row r="43">
          <cell r="B43" t="str">
            <v>AMAZON ZINC</v>
          </cell>
          <cell r="R43">
            <v>11.05</v>
          </cell>
          <cell r="S43">
            <v>145</v>
          </cell>
          <cell r="T43">
            <v>24.05</v>
          </cell>
          <cell r="U43">
            <v>515.29999999999995</v>
          </cell>
          <cell r="BA43">
            <v>684.34999999999991</v>
          </cell>
          <cell r="BB43">
            <v>0</v>
          </cell>
          <cell r="BF43" t="str">
            <v>Ok</v>
          </cell>
        </row>
        <row r="44">
          <cell r="B44" t="str">
            <v>AMICO FLAX</v>
          </cell>
          <cell r="R44">
            <v>38.699999999999996</v>
          </cell>
          <cell r="S44">
            <v>239.1</v>
          </cell>
          <cell r="T44">
            <v>53.5</v>
          </cell>
          <cell r="U44">
            <v>206.1</v>
          </cell>
          <cell r="BA44">
            <v>498.70000000000005</v>
          </cell>
          <cell r="BB44">
            <v>0</v>
          </cell>
          <cell r="BF44" t="str">
            <v>Ok</v>
          </cell>
        </row>
        <row r="45">
          <cell r="B45" t="str">
            <v>AMICO GREY</v>
          </cell>
          <cell r="R45">
            <v>13.75</v>
          </cell>
          <cell r="S45">
            <v>408.1</v>
          </cell>
          <cell r="T45">
            <v>45.6</v>
          </cell>
          <cell r="U45">
            <v>503.6</v>
          </cell>
          <cell r="BA45">
            <v>957.30000000000007</v>
          </cell>
          <cell r="BB45">
            <v>0</v>
          </cell>
          <cell r="BF45" t="str">
            <v>Ok</v>
          </cell>
        </row>
        <row r="46">
          <cell r="B46" t="str">
            <v>AMICO OAT</v>
          </cell>
          <cell r="R46">
            <v>0.27500000000000002</v>
          </cell>
          <cell r="S46">
            <v>486.1</v>
          </cell>
          <cell r="T46">
            <v>0</v>
          </cell>
          <cell r="U46">
            <v>410.1</v>
          </cell>
          <cell r="BA46">
            <v>896.2</v>
          </cell>
          <cell r="BB46">
            <v>0</v>
          </cell>
          <cell r="BF46" t="str">
            <v>Ok</v>
          </cell>
        </row>
        <row r="47">
          <cell r="B47" t="str">
            <v>ANCESTRY SKY</v>
          </cell>
          <cell r="R47">
            <v>7.5500000000000007</v>
          </cell>
          <cell r="S47">
            <v>298.01</v>
          </cell>
          <cell r="T47">
            <v>0</v>
          </cell>
          <cell r="U47">
            <v>0</v>
          </cell>
          <cell r="BA47">
            <v>298.01</v>
          </cell>
          <cell r="BB47">
            <v>0</v>
          </cell>
          <cell r="BF47" t="str">
            <v>Ok</v>
          </cell>
        </row>
        <row r="48">
          <cell r="B48" t="str">
            <v>ANGELO SILVER</v>
          </cell>
          <cell r="R48">
            <v>0.3</v>
          </cell>
          <cell r="S48">
            <v>81.5</v>
          </cell>
          <cell r="T48">
            <v>8.9</v>
          </cell>
          <cell r="U48">
            <v>0</v>
          </cell>
          <cell r="BA48">
            <v>90.4</v>
          </cell>
          <cell r="BB48">
            <v>0</v>
          </cell>
          <cell r="BF48" t="str">
            <v>Ok</v>
          </cell>
        </row>
        <row r="49">
          <cell r="B49" t="str">
            <v>ANGOLA CREAM</v>
          </cell>
          <cell r="R49">
            <v>6.2750000000000004</v>
          </cell>
          <cell r="S49">
            <v>46.18</v>
          </cell>
          <cell r="T49">
            <v>29</v>
          </cell>
          <cell r="U49">
            <v>0</v>
          </cell>
          <cell r="BA49">
            <v>75.180000000000007</v>
          </cell>
          <cell r="BB49">
            <v>0</v>
          </cell>
          <cell r="BF49" t="str">
            <v>Ok</v>
          </cell>
        </row>
        <row r="50">
          <cell r="B50" t="str">
            <v>ANGOLA NAVY</v>
          </cell>
          <cell r="R50">
            <v>2.7749999999999999</v>
          </cell>
          <cell r="S50">
            <v>23.04</v>
          </cell>
          <cell r="T50">
            <v>-7.17</v>
          </cell>
          <cell r="U50">
            <v>0</v>
          </cell>
          <cell r="BA50">
            <v>15.87</v>
          </cell>
          <cell r="BB50">
            <v>0</v>
          </cell>
          <cell r="BF50" t="str">
            <v>Ok</v>
          </cell>
        </row>
        <row r="51">
          <cell r="B51" t="str">
            <v>ANNA YT WHITELINEN</v>
          </cell>
          <cell r="R51">
            <v>211.07499999999999</v>
          </cell>
          <cell r="S51">
            <v>430.4</v>
          </cell>
          <cell r="T51">
            <v>20.100000000000001</v>
          </cell>
          <cell r="U51">
            <v>0</v>
          </cell>
          <cell r="BA51">
            <v>904.5</v>
          </cell>
          <cell r="BB51">
            <v>2550</v>
          </cell>
          <cell r="BF51" t="str">
            <v>Resurtir</v>
          </cell>
        </row>
        <row r="52">
          <cell r="B52" t="str">
            <v>AREZZO CREAM</v>
          </cell>
          <cell r="R52">
            <v>12.824999999999999</v>
          </cell>
          <cell r="S52">
            <v>790.8</v>
          </cell>
          <cell r="T52">
            <v>0</v>
          </cell>
          <cell r="U52">
            <v>48.5</v>
          </cell>
          <cell r="BA52">
            <v>839.3</v>
          </cell>
          <cell r="BB52">
            <v>0</v>
          </cell>
          <cell r="BF52" t="str">
            <v>Ok</v>
          </cell>
        </row>
        <row r="53">
          <cell r="B53" t="str">
            <v>ARIA NATURAL</v>
          </cell>
          <cell r="R53">
            <v>4.9249999999999998</v>
          </cell>
          <cell r="S53">
            <v>48.6</v>
          </cell>
          <cell r="T53">
            <v>24.2</v>
          </cell>
          <cell r="U53">
            <v>0</v>
          </cell>
          <cell r="BA53">
            <v>72.8</v>
          </cell>
          <cell r="BB53">
            <v>0</v>
          </cell>
          <cell r="BF53" t="str">
            <v>Ok</v>
          </cell>
        </row>
        <row r="54">
          <cell r="B54" t="str">
            <v>ARMADA BROWN</v>
          </cell>
          <cell r="R54">
            <v>8.8574999999999999</v>
          </cell>
          <cell r="S54">
            <v>72.08</v>
          </cell>
          <cell r="T54">
            <v>16.670000000000002</v>
          </cell>
          <cell r="U54">
            <v>0</v>
          </cell>
          <cell r="BA54">
            <v>88.75</v>
          </cell>
          <cell r="BB54">
            <v>0</v>
          </cell>
          <cell r="BF54" t="str">
            <v>Ok</v>
          </cell>
        </row>
        <row r="55">
          <cell r="B55" t="str">
            <v>ARMADA IVORY</v>
          </cell>
          <cell r="R55">
            <v>3.1749999999999998</v>
          </cell>
          <cell r="S55">
            <v>0</v>
          </cell>
          <cell r="T55">
            <v>8.5</v>
          </cell>
          <cell r="U55">
            <v>0</v>
          </cell>
          <cell r="BA55">
            <v>58.5</v>
          </cell>
          <cell r="BB55">
            <v>0</v>
          </cell>
          <cell r="BF55" t="str">
            <v>Ok</v>
          </cell>
        </row>
        <row r="56">
          <cell r="B56" t="str">
            <v>ARTICLE ECRU</v>
          </cell>
          <cell r="R56">
            <v>54.325000000000003</v>
          </cell>
          <cell r="S56">
            <v>377.9</v>
          </cell>
          <cell r="T56">
            <v>5</v>
          </cell>
          <cell r="U56">
            <v>1378.6</v>
          </cell>
          <cell r="BA56">
            <v>1761.5</v>
          </cell>
          <cell r="BB56">
            <v>0</v>
          </cell>
          <cell r="BF56" t="str">
            <v>Ok</v>
          </cell>
        </row>
        <row r="57">
          <cell r="B57" t="str">
            <v>ARTICLE IVORY</v>
          </cell>
          <cell r="R57">
            <v>246.48750000000001</v>
          </cell>
          <cell r="S57">
            <v>254.3</v>
          </cell>
          <cell r="T57">
            <v>19.399999999999999</v>
          </cell>
          <cell r="U57">
            <v>0</v>
          </cell>
          <cell r="BA57">
            <v>1073.7</v>
          </cell>
          <cell r="BB57">
            <v>300</v>
          </cell>
          <cell r="BF57" t="str">
            <v>Resurtir</v>
          </cell>
        </row>
        <row r="58">
          <cell r="B58" t="str">
            <v>ARTICLE MERCURY</v>
          </cell>
          <cell r="R58">
            <v>1.65</v>
          </cell>
          <cell r="S58">
            <v>1764.6</v>
          </cell>
          <cell r="T58">
            <v>15</v>
          </cell>
          <cell r="U58">
            <v>0</v>
          </cell>
          <cell r="BA58">
            <v>1779.6</v>
          </cell>
          <cell r="BB58">
            <v>0</v>
          </cell>
          <cell r="BF58" t="str">
            <v>Ok</v>
          </cell>
        </row>
        <row r="59">
          <cell r="B59" t="str">
            <v>ARTICLE MOONSTONE</v>
          </cell>
          <cell r="R59">
            <v>2</v>
          </cell>
          <cell r="S59">
            <v>913.5</v>
          </cell>
          <cell r="T59">
            <v>22.9</v>
          </cell>
          <cell r="U59">
            <v>0</v>
          </cell>
          <cell r="BA59">
            <v>1736.4</v>
          </cell>
          <cell r="BB59">
            <v>0</v>
          </cell>
          <cell r="BF59" t="str">
            <v>Ok</v>
          </cell>
        </row>
        <row r="60">
          <cell r="B60" t="str">
            <v>ARTICLE OYSTER</v>
          </cell>
          <cell r="R60">
            <v>30.799999999999997</v>
          </cell>
          <cell r="S60">
            <v>247.6</v>
          </cell>
          <cell r="T60">
            <v>0</v>
          </cell>
          <cell r="U60">
            <v>859.8</v>
          </cell>
          <cell r="BA60">
            <v>1107.3999999999999</v>
          </cell>
          <cell r="BB60">
            <v>0</v>
          </cell>
          <cell r="BF60" t="str">
            <v>Ok</v>
          </cell>
        </row>
        <row r="61">
          <cell r="B61" t="str">
            <v>ARTICLE SNOW</v>
          </cell>
          <cell r="R61">
            <v>13.824999999999999</v>
          </cell>
          <cell r="S61">
            <v>811.6</v>
          </cell>
          <cell r="T61">
            <v>15.7</v>
          </cell>
          <cell r="U61">
            <v>0</v>
          </cell>
          <cell r="BA61">
            <v>827.30000000000007</v>
          </cell>
          <cell r="BB61">
            <v>0</v>
          </cell>
          <cell r="BF61" t="str">
            <v>Ok</v>
          </cell>
        </row>
        <row r="62">
          <cell r="B62" t="str">
            <v>ARTWORKS BLACK</v>
          </cell>
          <cell r="R62">
            <v>0</v>
          </cell>
          <cell r="S62">
            <v>92.5</v>
          </cell>
          <cell r="T62">
            <v>16.600000000000001</v>
          </cell>
          <cell r="U62">
            <v>0</v>
          </cell>
          <cell r="BA62">
            <v>109.1</v>
          </cell>
          <cell r="BB62">
            <v>0</v>
          </cell>
          <cell r="BF62" t="str">
            <v>Ok</v>
          </cell>
        </row>
        <row r="63">
          <cell r="B63" t="str">
            <v>ARTWORKS DOLPHIN</v>
          </cell>
          <cell r="R63">
            <v>0.75</v>
          </cell>
          <cell r="S63">
            <v>312</v>
          </cell>
          <cell r="T63">
            <v>0</v>
          </cell>
          <cell r="U63">
            <v>0</v>
          </cell>
          <cell r="BA63">
            <v>312</v>
          </cell>
          <cell r="BB63">
            <v>0</v>
          </cell>
          <cell r="BF63" t="str">
            <v>Ok</v>
          </cell>
        </row>
        <row r="64">
          <cell r="B64" t="str">
            <v>ATLANTIS BLUE</v>
          </cell>
          <cell r="R64">
            <v>12.4</v>
          </cell>
          <cell r="S64">
            <v>0</v>
          </cell>
          <cell r="T64">
            <v>41</v>
          </cell>
          <cell r="U64">
            <v>0</v>
          </cell>
          <cell r="BA64">
            <v>41</v>
          </cell>
          <cell r="BB64">
            <v>0</v>
          </cell>
          <cell r="BF64" t="str">
            <v>Resurtir</v>
          </cell>
        </row>
        <row r="65">
          <cell r="B65" t="str">
            <v>ATLANTIS CHARCOAL</v>
          </cell>
          <cell r="R65">
            <v>0</v>
          </cell>
          <cell r="S65">
            <v>27.6</v>
          </cell>
          <cell r="T65">
            <v>37.5</v>
          </cell>
          <cell r="U65">
            <v>55.2</v>
          </cell>
          <cell r="BA65">
            <v>120.3</v>
          </cell>
          <cell r="BB65">
            <v>0</v>
          </cell>
          <cell r="BF65" t="str">
            <v>Ok</v>
          </cell>
        </row>
        <row r="66">
          <cell r="B66" t="str">
            <v>ATLANTIS CLOUD</v>
          </cell>
          <cell r="R66">
            <v>12.025</v>
          </cell>
          <cell r="S66">
            <v>22.4</v>
          </cell>
          <cell r="T66">
            <v>36.9</v>
          </cell>
          <cell r="U66">
            <v>0</v>
          </cell>
          <cell r="BA66">
            <v>59.3</v>
          </cell>
          <cell r="BB66">
            <v>0</v>
          </cell>
          <cell r="BF66" t="str">
            <v>Ok</v>
          </cell>
        </row>
        <row r="67">
          <cell r="B67" t="str">
            <v>ATLANTIS INDIGO</v>
          </cell>
          <cell r="R67">
            <v>2.5</v>
          </cell>
          <cell r="S67">
            <v>26</v>
          </cell>
          <cell r="T67">
            <v>35.799999999999997</v>
          </cell>
          <cell r="U67">
            <v>0</v>
          </cell>
          <cell r="BA67">
            <v>61.8</v>
          </cell>
          <cell r="BB67">
            <v>0</v>
          </cell>
          <cell r="BF67" t="str">
            <v>Ok</v>
          </cell>
        </row>
        <row r="68">
          <cell r="B68" t="str">
            <v>ATLANTIS MINERAL</v>
          </cell>
          <cell r="R68">
            <v>0</v>
          </cell>
          <cell r="S68">
            <v>78.7</v>
          </cell>
          <cell r="T68">
            <v>13.6</v>
          </cell>
          <cell r="U68">
            <v>0</v>
          </cell>
          <cell r="BA68">
            <v>92.3</v>
          </cell>
          <cell r="BB68">
            <v>0</v>
          </cell>
          <cell r="BF68" t="str">
            <v>Ok</v>
          </cell>
        </row>
        <row r="69">
          <cell r="B69" t="str">
            <v>ATLANTIS OLIVE</v>
          </cell>
          <cell r="R69">
            <v>39.724999999999994</v>
          </cell>
          <cell r="S69">
            <v>109.4</v>
          </cell>
          <cell r="T69">
            <v>39.4</v>
          </cell>
          <cell r="U69">
            <v>85.1</v>
          </cell>
          <cell r="BA69">
            <v>233.9</v>
          </cell>
          <cell r="BB69">
            <v>0</v>
          </cell>
          <cell r="BF69" t="str">
            <v>Ok</v>
          </cell>
        </row>
        <row r="70">
          <cell r="B70" t="str">
            <v>AURY CLOUD</v>
          </cell>
          <cell r="R70">
            <v>1.6</v>
          </cell>
          <cell r="S70">
            <v>664.1</v>
          </cell>
          <cell r="T70">
            <v>8.4</v>
          </cell>
          <cell r="U70">
            <v>0</v>
          </cell>
          <cell r="BA70">
            <v>672.5</v>
          </cell>
          <cell r="BB70">
            <v>0</v>
          </cell>
          <cell r="BF70" t="str">
            <v>Ok</v>
          </cell>
        </row>
        <row r="71">
          <cell r="B71" t="str">
            <v>AURY DOUBLE CLOUD</v>
          </cell>
          <cell r="R71">
            <v>10.375</v>
          </cell>
          <cell r="S71">
            <v>41</v>
          </cell>
          <cell r="T71">
            <v>66.900000000000006</v>
          </cell>
          <cell r="U71">
            <v>303</v>
          </cell>
          <cell r="BA71">
            <v>410.9</v>
          </cell>
          <cell r="BB71">
            <v>100</v>
          </cell>
          <cell r="BF71" t="str">
            <v>Ok</v>
          </cell>
        </row>
        <row r="72">
          <cell r="B72" t="str">
            <v>AURY DOUBLE DRIFTWOOD</v>
          </cell>
          <cell r="R72">
            <v>88.825000000000003</v>
          </cell>
          <cell r="S72">
            <v>497</v>
          </cell>
          <cell r="T72">
            <v>16.899999999999999</v>
          </cell>
          <cell r="U72">
            <v>0</v>
          </cell>
          <cell r="BA72">
            <v>513.9</v>
          </cell>
          <cell r="BB72">
            <v>200</v>
          </cell>
          <cell r="BF72" t="str">
            <v>Ok</v>
          </cell>
        </row>
        <row r="73">
          <cell r="B73" t="str">
            <v>AURY DOUBLE FLAX</v>
          </cell>
          <cell r="R73">
            <v>73.2</v>
          </cell>
          <cell r="S73">
            <v>79</v>
          </cell>
          <cell r="T73">
            <v>13.5</v>
          </cell>
          <cell r="U73">
            <v>699</v>
          </cell>
          <cell r="BA73">
            <v>791.5</v>
          </cell>
          <cell r="BB73">
            <v>50</v>
          </cell>
          <cell r="BF73" t="str">
            <v>Ok</v>
          </cell>
        </row>
        <row r="74">
          <cell r="B74" t="str">
            <v>AURY DOUBLE LINEN</v>
          </cell>
          <cell r="R74">
            <v>176.01249999999999</v>
          </cell>
          <cell r="S74">
            <v>789</v>
          </cell>
          <cell r="T74">
            <v>80.150000000000006</v>
          </cell>
          <cell r="U74">
            <v>0</v>
          </cell>
          <cell r="BA74">
            <v>869.15</v>
          </cell>
          <cell r="BB74">
            <v>0</v>
          </cell>
          <cell r="BF74" t="str">
            <v>Ok</v>
          </cell>
        </row>
        <row r="75">
          <cell r="B75" t="str">
            <v>AURY DOUBLE STONE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BA75">
            <v>0</v>
          </cell>
          <cell r="BB75">
            <v>150</v>
          </cell>
          <cell r="BF75" t="str">
            <v>Resurtir</v>
          </cell>
        </row>
        <row r="76">
          <cell r="B76" t="str">
            <v>AURY DRIFTWOOD</v>
          </cell>
          <cell r="R76">
            <v>0</v>
          </cell>
          <cell r="S76">
            <v>0</v>
          </cell>
          <cell r="T76">
            <v>8.4</v>
          </cell>
          <cell r="U76">
            <v>0</v>
          </cell>
          <cell r="BA76">
            <v>8.4</v>
          </cell>
          <cell r="BB76">
            <v>0</v>
          </cell>
          <cell r="BF76" t="str">
            <v>Ok</v>
          </cell>
        </row>
        <row r="77">
          <cell r="B77" t="str">
            <v>AURY FLAX</v>
          </cell>
          <cell r="R77">
            <v>2.5499999999999998</v>
          </cell>
          <cell r="S77">
            <v>0</v>
          </cell>
          <cell r="T77">
            <v>58.5</v>
          </cell>
          <cell r="U77">
            <v>0</v>
          </cell>
          <cell r="BA77">
            <v>58.5</v>
          </cell>
          <cell r="BB77">
            <v>50</v>
          </cell>
          <cell r="BF77" t="str">
            <v>Ok</v>
          </cell>
        </row>
        <row r="78">
          <cell r="B78" t="str">
            <v>AURY LINEN</v>
          </cell>
          <cell r="R78">
            <v>2</v>
          </cell>
          <cell r="S78">
            <v>0</v>
          </cell>
          <cell r="T78">
            <v>31</v>
          </cell>
          <cell r="U78">
            <v>0</v>
          </cell>
          <cell r="BA78">
            <v>31</v>
          </cell>
          <cell r="BB78">
            <v>0</v>
          </cell>
          <cell r="BF78" t="str">
            <v>Ok</v>
          </cell>
        </row>
        <row r="79">
          <cell r="B79" t="str">
            <v>AURY STONE</v>
          </cell>
          <cell r="R79">
            <v>16.824999999999999</v>
          </cell>
          <cell r="S79">
            <v>455</v>
          </cell>
          <cell r="T79">
            <v>27.7</v>
          </cell>
          <cell r="U79">
            <v>0</v>
          </cell>
          <cell r="BA79">
            <v>482.7</v>
          </cell>
          <cell r="BB79">
            <v>0</v>
          </cell>
          <cell r="BF79" t="str">
            <v>Ok</v>
          </cell>
        </row>
        <row r="80">
          <cell r="B80" t="str">
            <v>AVALANCHE BONE</v>
          </cell>
          <cell r="R80">
            <v>155.61500000000001</v>
          </cell>
          <cell r="S80">
            <v>624.29999999999995</v>
          </cell>
          <cell r="T80">
            <v>31.9</v>
          </cell>
          <cell r="U80">
            <v>564.29999999999995</v>
          </cell>
          <cell r="BA80">
            <v>1220.5</v>
          </cell>
          <cell r="BB80">
            <v>830</v>
          </cell>
          <cell r="BF80" t="str">
            <v>Ok</v>
          </cell>
        </row>
        <row r="81">
          <cell r="B81" t="str">
            <v>AVALANCHE ECRU</v>
          </cell>
          <cell r="R81">
            <v>356.67499999999995</v>
          </cell>
          <cell r="S81">
            <v>831.4</v>
          </cell>
          <cell r="T81">
            <v>38.950000000000003</v>
          </cell>
          <cell r="U81">
            <v>11370.1</v>
          </cell>
          <cell r="BA81">
            <v>12240.45</v>
          </cell>
          <cell r="BB81">
            <v>760</v>
          </cell>
          <cell r="BF81" t="str">
            <v>Ok</v>
          </cell>
        </row>
        <row r="82">
          <cell r="B82" t="str">
            <v>AVALANCHE FLAX</v>
          </cell>
          <cell r="R82">
            <v>170.81</v>
          </cell>
          <cell r="S82">
            <v>1157.8</v>
          </cell>
          <cell r="T82">
            <v>6.42</v>
          </cell>
          <cell r="U82">
            <v>2786.8</v>
          </cell>
          <cell r="BA82">
            <v>3951.0200000000004</v>
          </cell>
          <cell r="BB82">
            <v>960</v>
          </cell>
          <cell r="BF82" t="str">
            <v>Ok</v>
          </cell>
        </row>
        <row r="83">
          <cell r="B83" t="str">
            <v>AVALANCHE MUSHROOM</v>
          </cell>
          <cell r="R83">
            <v>118.16500000000001</v>
          </cell>
          <cell r="S83">
            <v>761.9</v>
          </cell>
          <cell r="T83">
            <v>21.2</v>
          </cell>
          <cell r="U83">
            <v>1649.2</v>
          </cell>
          <cell r="BA83">
            <v>2432.3000000000002</v>
          </cell>
          <cell r="BB83">
            <v>500</v>
          </cell>
          <cell r="BF83" t="str">
            <v>Ok</v>
          </cell>
        </row>
        <row r="84">
          <cell r="B84" t="str">
            <v>AXIS SINATRA</v>
          </cell>
          <cell r="R84">
            <v>0.5</v>
          </cell>
          <cell r="S84">
            <v>50</v>
          </cell>
          <cell r="T84">
            <v>6.3</v>
          </cell>
          <cell r="U84">
            <v>0</v>
          </cell>
          <cell r="BA84">
            <v>56.3</v>
          </cell>
          <cell r="BB84">
            <v>0</v>
          </cell>
          <cell r="BF84" t="str">
            <v>Ok</v>
          </cell>
        </row>
        <row r="85">
          <cell r="B85" t="str">
            <v>BACKGAMMON CANDY</v>
          </cell>
          <cell r="R85">
            <v>0</v>
          </cell>
          <cell r="S85">
            <v>26.65</v>
          </cell>
          <cell r="T85">
            <v>12</v>
          </cell>
          <cell r="U85">
            <v>0</v>
          </cell>
          <cell r="BA85">
            <v>38.65</v>
          </cell>
          <cell r="BB85">
            <v>0</v>
          </cell>
          <cell r="BF85" t="str">
            <v>Ok</v>
          </cell>
        </row>
        <row r="86">
          <cell r="B86" t="str">
            <v>BACKGAMMON ISLAND</v>
          </cell>
          <cell r="R86">
            <v>0</v>
          </cell>
          <cell r="S86">
            <v>25.4</v>
          </cell>
          <cell r="T86">
            <v>0</v>
          </cell>
          <cell r="U86">
            <v>0</v>
          </cell>
          <cell r="BA86">
            <v>25.4</v>
          </cell>
          <cell r="BB86">
            <v>0</v>
          </cell>
          <cell r="BF86" t="str">
            <v>Ok</v>
          </cell>
        </row>
        <row r="87">
          <cell r="B87" t="str">
            <v>BACKGAMMON SHADOW</v>
          </cell>
          <cell r="R87">
            <v>0.27500000000000002</v>
          </cell>
          <cell r="S87">
            <v>0</v>
          </cell>
          <cell r="T87">
            <v>0</v>
          </cell>
          <cell r="U87">
            <v>0</v>
          </cell>
          <cell r="BA87">
            <v>0</v>
          </cell>
          <cell r="BB87">
            <v>0</v>
          </cell>
          <cell r="BF87" t="str">
            <v>Resurtir</v>
          </cell>
        </row>
        <row r="88">
          <cell r="B88" t="str">
            <v>BAKER EBONY</v>
          </cell>
          <cell r="R88">
            <v>35.950000000000003</v>
          </cell>
          <cell r="S88">
            <v>144.4</v>
          </cell>
          <cell r="T88">
            <v>0</v>
          </cell>
          <cell r="U88">
            <v>0</v>
          </cell>
          <cell r="BA88">
            <v>144.4</v>
          </cell>
          <cell r="BB88">
            <v>100</v>
          </cell>
          <cell r="BF88" t="str">
            <v>Resurtir</v>
          </cell>
        </row>
        <row r="89">
          <cell r="B89" t="str">
            <v>BAKER FLAX</v>
          </cell>
          <cell r="R89">
            <v>170.89999999999998</v>
          </cell>
          <cell r="S89">
            <v>506.4</v>
          </cell>
          <cell r="T89">
            <v>33.9</v>
          </cell>
          <cell r="U89">
            <v>0</v>
          </cell>
          <cell r="BA89">
            <v>1140.3</v>
          </cell>
          <cell r="BB89">
            <v>500</v>
          </cell>
          <cell r="BF89" t="str">
            <v>Ok</v>
          </cell>
        </row>
        <row r="90">
          <cell r="B90" t="str">
            <v>BAKER GREY</v>
          </cell>
          <cell r="R90">
            <v>24</v>
          </cell>
          <cell r="S90">
            <v>73.8</v>
          </cell>
          <cell r="T90">
            <v>15.1</v>
          </cell>
          <cell r="U90">
            <v>0</v>
          </cell>
          <cell r="BA90">
            <v>688.9</v>
          </cell>
          <cell r="BB90">
            <v>200</v>
          </cell>
          <cell r="BF90" t="str">
            <v>Ok</v>
          </cell>
        </row>
        <row r="91">
          <cell r="B91" t="str">
            <v>BAKER IVORY</v>
          </cell>
          <cell r="R91">
            <v>67.45</v>
          </cell>
          <cell r="S91">
            <v>305.2</v>
          </cell>
          <cell r="T91">
            <v>14.4</v>
          </cell>
          <cell r="U91">
            <v>0</v>
          </cell>
          <cell r="BA91">
            <v>319.59999999999997</v>
          </cell>
          <cell r="BB91">
            <v>50</v>
          </cell>
          <cell r="BF91" t="str">
            <v>Ok</v>
          </cell>
        </row>
        <row r="92">
          <cell r="B92" t="str">
            <v>BAKER LINEN</v>
          </cell>
          <cell r="R92">
            <v>206.25</v>
          </cell>
          <cell r="S92">
            <v>112.5</v>
          </cell>
          <cell r="T92">
            <v>65</v>
          </cell>
          <cell r="U92">
            <v>0</v>
          </cell>
          <cell r="BA92">
            <v>777.5</v>
          </cell>
          <cell r="BB92">
            <v>300</v>
          </cell>
          <cell r="BF92" t="str">
            <v>Resurtir</v>
          </cell>
        </row>
        <row r="93">
          <cell r="B93" t="str">
            <v>BAKER MUSHROOM</v>
          </cell>
          <cell r="R93">
            <v>58.849999999999994</v>
          </cell>
          <cell r="S93">
            <v>236.9</v>
          </cell>
          <cell r="T93">
            <v>31.45</v>
          </cell>
          <cell r="U93">
            <v>0</v>
          </cell>
          <cell r="BA93">
            <v>268.35000000000002</v>
          </cell>
          <cell r="BB93">
            <v>80</v>
          </cell>
          <cell r="BF93" t="str">
            <v>Ok</v>
          </cell>
        </row>
        <row r="94">
          <cell r="B94" t="str">
            <v>BAKER MUSTARD</v>
          </cell>
          <cell r="R94">
            <v>35.375</v>
          </cell>
          <cell r="S94">
            <v>31.5</v>
          </cell>
          <cell r="T94">
            <v>5</v>
          </cell>
          <cell r="U94">
            <v>0</v>
          </cell>
          <cell r="BA94">
            <v>347.5</v>
          </cell>
          <cell r="BB94">
            <v>0</v>
          </cell>
          <cell r="BF94" t="str">
            <v>Ok</v>
          </cell>
        </row>
        <row r="95">
          <cell r="B95" t="str">
            <v>BAKER NAVY</v>
          </cell>
          <cell r="R95">
            <v>6.75</v>
          </cell>
          <cell r="S95">
            <v>156.5</v>
          </cell>
          <cell r="T95">
            <v>0</v>
          </cell>
          <cell r="U95">
            <v>0</v>
          </cell>
          <cell r="BA95">
            <v>478.5</v>
          </cell>
          <cell r="BB95">
            <v>0</v>
          </cell>
          <cell r="BF95" t="str">
            <v>Ok</v>
          </cell>
        </row>
        <row r="96">
          <cell r="B96" t="str">
            <v>BAKER OLIVE</v>
          </cell>
          <cell r="R96">
            <v>87.89</v>
          </cell>
          <cell r="S96">
            <v>126.1</v>
          </cell>
          <cell r="T96">
            <v>28.6</v>
          </cell>
          <cell r="U96">
            <v>0</v>
          </cell>
          <cell r="BA96">
            <v>254.7</v>
          </cell>
          <cell r="BB96">
            <v>300</v>
          </cell>
          <cell r="BF96" t="str">
            <v>Resurtir</v>
          </cell>
        </row>
        <row r="97">
          <cell r="B97" t="str">
            <v>BAKER WOOD</v>
          </cell>
          <cell r="R97">
            <v>81.75</v>
          </cell>
          <cell r="S97">
            <v>73.599999999999994</v>
          </cell>
          <cell r="T97">
            <v>5.7</v>
          </cell>
          <cell r="U97">
            <v>0</v>
          </cell>
          <cell r="BA97">
            <v>279.3</v>
          </cell>
          <cell r="BB97">
            <v>0</v>
          </cell>
          <cell r="BF97" t="str">
            <v>Resurtir</v>
          </cell>
        </row>
        <row r="98">
          <cell r="B98" t="str">
            <v>BALI CHARCOAL</v>
          </cell>
          <cell r="R98">
            <v>0.625</v>
          </cell>
          <cell r="S98">
            <v>641.29999999999995</v>
          </cell>
          <cell r="T98">
            <v>14.9</v>
          </cell>
          <cell r="U98">
            <v>0</v>
          </cell>
          <cell r="BA98">
            <v>656.19999999999993</v>
          </cell>
          <cell r="BB98">
            <v>10</v>
          </cell>
          <cell r="BF98" t="str">
            <v>Ok</v>
          </cell>
        </row>
        <row r="99">
          <cell r="B99" t="str">
            <v>BALI LINEN</v>
          </cell>
          <cell r="R99">
            <v>68.125</v>
          </cell>
          <cell r="S99">
            <v>195</v>
          </cell>
          <cell r="T99">
            <v>40.6</v>
          </cell>
          <cell r="U99">
            <v>0</v>
          </cell>
          <cell r="BA99">
            <v>235.6</v>
          </cell>
          <cell r="BB99">
            <v>50</v>
          </cell>
          <cell r="BF99" t="str">
            <v>Resurtir</v>
          </cell>
        </row>
        <row r="100">
          <cell r="B100" t="str">
            <v>BALI NATURAL</v>
          </cell>
          <cell r="R100">
            <v>57.05</v>
          </cell>
          <cell r="S100">
            <v>246.4</v>
          </cell>
          <cell r="T100">
            <v>42.4</v>
          </cell>
          <cell r="U100">
            <v>0</v>
          </cell>
          <cell r="BA100">
            <v>992.8</v>
          </cell>
          <cell r="BB100">
            <v>50</v>
          </cell>
          <cell r="BF100" t="str">
            <v>Ok</v>
          </cell>
        </row>
        <row r="101">
          <cell r="B101" t="str">
            <v>BALI NAVY</v>
          </cell>
          <cell r="R101">
            <v>36.974999999999994</v>
          </cell>
          <cell r="S101">
            <v>728.5</v>
          </cell>
          <cell r="T101">
            <v>17.3</v>
          </cell>
          <cell r="U101">
            <v>0</v>
          </cell>
          <cell r="BA101">
            <v>745.8</v>
          </cell>
          <cell r="BB101">
            <v>100</v>
          </cell>
          <cell r="BF101" t="str">
            <v>Ok</v>
          </cell>
        </row>
        <row r="102">
          <cell r="B102" t="str">
            <v>BALI SLATE</v>
          </cell>
          <cell r="R102">
            <v>0</v>
          </cell>
          <cell r="S102">
            <v>534.79999999999995</v>
          </cell>
          <cell r="T102">
            <v>31.7</v>
          </cell>
          <cell r="U102">
            <v>0</v>
          </cell>
          <cell r="BA102">
            <v>566.5</v>
          </cell>
          <cell r="BB102">
            <v>0</v>
          </cell>
          <cell r="BF102" t="str">
            <v>Ok</v>
          </cell>
        </row>
        <row r="103">
          <cell r="B103" t="str">
            <v>BALI SMOKE</v>
          </cell>
          <cell r="R103">
            <v>9.4250000000000007</v>
          </cell>
          <cell r="S103">
            <v>473.2</v>
          </cell>
          <cell r="T103">
            <v>11.9</v>
          </cell>
          <cell r="U103">
            <v>0</v>
          </cell>
          <cell r="BA103">
            <v>485.09999999999997</v>
          </cell>
          <cell r="BB103">
            <v>0</v>
          </cell>
          <cell r="BF103" t="str">
            <v>Ok</v>
          </cell>
        </row>
        <row r="104">
          <cell r="B104" t="str">
            <v>BALI SNOW</v>
          </cell>
          <cell r="R104">
            <v>86.25</v>
          </cell>
          <cell r="S104">
            <v>267.39999999999998</v>
          </cell>
          <cell r="T104">
            <v>32.5</v>
          </cell>
          <cell r="U104">
            <v>714</v>
          </cell>
          <cell r="BA104">
            <v>1013.9</v>
          </cell>
          <cell r="BB104">
            <v>300</v>
          </cell>
          <cell r="BF104" t="str">
            <v>Ok</v>
          </cell>
        </row>
        <row r="105">
          <cell r="B105" t="str">
            <v>BANDEAU MINERAL</v>
          </cell>
          <cell r="R105">
            <v>2.6875</v>
          </cell>
          <cell r="S105">
            <v>77.790000000000006</v>
          </cell>
          <cell r="T105">
            <v>20.66</v>
          </cell>
          <cell r="U105">
            <v>0</v>
          </cell>
          <cell r="BA105">
            <v>98.45</v>
          </cell>
          <cell r="BB105">
            <v>0</v>
          </cell>
          <cell r="BF105" t="str">
            <v>Ok</v>
          </cell>
        </row>
        <row r="106">
          <cell r="B106" t="str">
            <v>BANDIT GINGER</v>
          </cell>
          <cell r="R106">
            <v>12.4375</v>
          </cell>
          <cell r="S106">
            <v>133.6</v>
          </cell>
          <cell r="T106">
            <v>12.6</v>
          </cell>
          <cell r="U106">
            <v>0</v>
          </cell>
          <cell r="BA106">
            <v>146.19999999999999</v>
          </cell>
          <cell r="BB106">
            <v>0</v>
          </cell>
          <cell r="BF106" t="str">
            <v>Ok</v>
          </cell>
        </row>
        <row r="107">
          <cell r="B107" t="str">
            <v>BARLETTA GARDEN</v>
          </cell>
          <cell r="R107">
            <v>22.725000000000001</v>
          </cell>
          <cell r="S107">
            <v>0</v>
          </cell>
          <cell r="T107">
            <v>24.5</v>
          </cell>
          <cell r="U107">
            <v>33.9</v>
          </cell>
          <cell r="BA107">
            <v>208.4</v>
          </cell>
          <cell r="BB107">
            <v>200</v>
          </cell>
          <cell r="BF107" t="str">
            <v>Ok</v>
          </cell>
        </row>
        <row r="108">
          <cell r="B108" t="str">
            <v>BARLETTA ROSE</v>
          </cell>
          <cell r="R108">
            <v>9.3000000000000007</v>
          </cell>
          <cell r="S108">
            <v>139.9</v>
          </cell>
          <cell r="T108">
            <v>0</v>
          </cell>
          <cell r="U108">
            <v>0</v>
          </cell>
          <cell r="BA108">
            <v>139.9</v>
          </cell>
          <cell r="BB108">
            <v>50</v>
          </cell>
          <cell r="BF108" t="str">
            <v>Ok</v>
          </cell>
        </row>
        <row r="109">
          <cell r="B109" t="str">
            <v>BARREL AQUAMARINE</v>
          </cell>
          <cell r="R109">
            <v>0.75</v>
          </cell>
          <cell r="S109">
            <v>396.2</v>
          </cell>
          <cell r="T109">
            <v>15.55</v>
          </cell>
          <cell r="U109">
            <v>0</v>
          </cell>
          <cell r="BA109">
            <v>411.75</v>
          </cell>
          <cell r="BB109">
            <v>0</v>
          </cell>
          <cell r="BF109" t="str">
            <v>Ok</v>
          </cell>
        </row>
        <row r="110">
          <cell r="B110" t="str">
            <v>BARREL BLACK</v>
          </cell>
          <cell r="R110">
            <v>20.149999999999999</v>
          </cell>
          <cell r="S110">
            <v>585.20000000000005</v>
          </cell>
          <cell r="T110">
            <v>0</v>
          </cell>
          <cell r="U110">
            <v>0</v>
          </cell>
          <cell r="BA110">
            <v>585.20000000000005</v>
          </cell>
          <cell r="BB110">
            <v>0</v>
          </cell>
          <cell r="BF110" t="str">
            <v>Ok</v>
          </cell>
        </row>
        <row r="111">
          <cell r="B111" t="str">
            <v>BARREL BONE</v>
          </cell>
          <cell r="R111">
            <v>16.125</v>
          </cell>
          <cell r="S111">
            <v>504.5</v>
          </cell>
          <cell r="T111">
            <v>82</v>
          </cell>
          <cell r="U111">
            <v>0</v>
          </cell>
          <cell r="BA111">
            <v>586.5</v>
          </cell>
          <cell r="BB111">
            <v>0</v>
          </cell>
          <cell r="BF111" t="str">
            <v>Ok</v>
          </cell>
        </row>
        <row r="112">
          <cell r="B112" t="str">
            <v>BARREL MUSTARD</v>
          </cell>
          <cell r="R112">
            <v>2.25</v>
          </cell>
          <cell r="S112">
            <v>393.9</v>
          </cell>
          <cell r="T112">
            <v>6.7</v>
          </cell>
          <cell r="U112">
            <v>0</v>
          </cell>
          <cell r="BA112">
            <v>400.59999999999997</v>
          </cell>
          <cell r="BB112">
            <v>0</v>
          </cell>
          <cell r="BF112" t="str">
            <v>Ok</v>
          </cell>
        </row>
        <row r="113">
          <cell r="B113" t="str">
            <v>BARREL PINE</v>
          </cell>
          <cell r="R113">
            <v>4.375</v>
          </cell>
          <cell r="S113">
            <v>889.05</v>
          </cell>
          <cell r="T113">
            <v>10.3</v>
          </cell>
          <cell r="U113">
            <v>0</v>
          </cell>
          <cell r="BA113">
            <v>899.34999999999991</v>
          </cell>
          <cell r="BB113">
            <v>0</v>
          </cell>
          <cell r="BF113" t="str">
            <v>Ok</v>
          </cell>
        </row>
        <row r="114">
          <cell r="B114" t="str">
            <v>BARREL WHITE</v>
          </cell>
          <cell r="R114">
            <v>5.3250000000000002</v>
          </cell>
          <cell r="S114">
            <v>606.57000000000005</v>
          </cell>
          <cell r="T114">
            <v>0</v>
          </cell>
          <cell r="U114">
            <v>0</v>
          </cell>
          <cell r="BA114">
            <v>606.57000000000005</v>
          </cell>
          <cell r="BB114">
            <v>0</v>
          </cell>
          <cell r="BF114" t="str">
            <v>Ok</v>
          </cell>
        </row>
        <row r="115">
          <cell r="B115" t="str">
            <v>BEACHBAG AQUA</v>
          </cell>
          <cell r="R115">
            <v>0</v>
          </cell>
          <cell r="S115">
            <v>0</v>
          </cell>
          <cell r="T115">
            <v>12.15</v>
          </cell>
          <cell r="U115">
            <v>0</v>
          </cell>
          <cell r="BA115">
            <v>118.15</v>
          </cell>
          <cell r="BB115">
            <v>0</v>
          </cell>
          <cell r="BF115" t="str">
            <v>Ok</v>
          </cell>
        </row>
        <row r="116">
          <cell r="B116" t="str">
            <v>BEACHBAG CABANA</v>
          </cell>
          <cell r="R116">
            <v>0.75</v>
          </cell>
          <cell r="S116">
            <v>75.900000000000006</v>
          </cell>
          <cell r="T116">
            <v>0</v>
          </cell>
          <cell r="U116">
            <v>0</v>
          </cell>
          <cell r="BA116">
            <v>75.900000000000006</v>
          </cell>
          <cell r="BB116">
            <v>0</v>
          </cell>
          <cell r="BF116" t="str">
            <v>Ok</v>
          </cell>
        </row>
        <row r="117">
          <cell r="B117" t="str">
            <v>BEACHBAG CAVIAR</v>
          </cell>
          <cell r="R117">
            <v>15.3</v>
          </cell>
          <cell r="S117">
            <v>23.9</v>
          </cell>
          <cell r="T117">
            <v>43.05</v>
          </cell>
          <cell r="U117">
            <v>0</v>
          </cell>
          <cell r="BA117">
            <v>66.949999999999989</v>
          </cell>
          <cell r="BB117">
            <v>0</v>
          </cell>
          <cell r="BF117" t="str">
            <v>Resurtir</v>
          </cell>
        </row>
        <row r="118">
          <cell r="B118" t="str">
            <v>BEACHBAG JUNGLE</v>
          </cell>
          <cell r="R118">
            <v>1.75</v>
          </cell>
          <cell r="S118">
            <v>25.5</v>
          </cell>
          <cell r="T118">
            <v>7.1</v>
          </cell>
          <cell r="U118">
            <v>203.2</v>
          </cell>
          <cell r="BA118">
            <v>235.79999999999998</v>
          </cell>
          <cell r="BB118">
            <v>0</v>
          </cell>
          <cell r="BF118" t="str">
            <v>Ok</v>
          </cell>
        </row>
        <row r="119">
          <cell r="B119" t="str">
            <v>BEACHBAG LINEN</v>
          </cell>
          <cell r="R119">
            <v>1.6</v>
          </cell>
          <cell r="S119">
            <v>223.1</v>
          </cell>
          <cell r="T119">
            <v>15</v>
          </cell>
          <cell r="U119">
            <v>0</v>
          </cell>
          <cell r="BA119">
            <v>238.1</v>
          </cell>
          <cell r="BB119">
            <v>0</v>
          </cell>
          <cell r="BF119" t="str">
            <v>Ok</v>
          </cell>
        </row>
        <row r="120">
          <cell r="B120" t="str">
            <v>BEACHBAG MIMOSA</v>
          </cell>
          <cell r="R120">
            <v>3.5</v>
          </cell>
          <cell r="S120">
            <v>70.3</v>
          </cell>
          <cell r="T120">
            <v>0</v>
          </cell>
          <cell r="U120">
            <v>0</v>
          </cell>
          <cell r="BA120">
            <v>70.3</v>
          </cell>
          <cell r="BB120">
            <v>0</v>
          </cell>
          <cell r="BF120" t="str">
            <v>Ok</v>
          </cell>
        </row>
        <row r="121">
          <cell r="B121" t="str">
            <v>BEACHBAG PEARL</v>
          </cell>
          <cell r="R121">
            <v>6</v>
          </cell>
          <cell r="S121">
            <v>182.6</v>
          </cell>
          <cell r="T121">
            <v>9.8000000000000007</v>
          </cell>
          <cell r="U121">
            <v>0</v>
          </cell>
          <cell r="BA121">
            <v>192.4</v>
          </cell>
          <cell r="BB121">
            <v>0</v>
          </cell>
          <cell r="BF121" t="str">
            <v>Ok</v>
          </cell>
        </row>
        <row r="122">
          <cell r="B122" t="str">
            <v>BEACHBAG RAIN</v>
          </cell>
          <cell r="R122">
            <v>0.375</v>
          </cell>
          <cell r="S122">
            <v>0</v>
          </cell>
          <cell r="T122">
            <v>0</v>
          </cell>
          <cell r="U122">
            <v>95.5</v>
          </cell>
          <cell r="BA122">
            <v>95.5</v>
          </cell>
          <cell r="BB122">
            <v>0</v>
          </cell>
          <cell r="BF122" t="str">
            <v>Ok</v>
          </cell>
        </row>
        <row r="123">
          <cell r="B123" t="str">
            <v>BEACHBAG SUNSET</v>
          </cell>
          <cell r="R123">
            <v>0.97499999999999998</v>
          </cell>
          <cell r="S123">
            <v>79</v>
          </cell>
          <cell r="T123">
            <v>5.7</v>
          </cell>
          <cell r="U123">
            <v>150.9</v>
          </cell>
          <cell r="BA123">
            <v>235.60000000000002</v>
          </cell>
          <cell r="BB123">
            <v>0</v>
          </cell>
          <cell r="BF123" t="str">
            <v>Ok</v>
          </cell>
        </row>
        <row r="124">
          <cell r="B124" t="str">
            <v>BEANIE AQUA</v>
          </cell>
          <cell r="R124">
            <v>3.25</v>
          </cell>
          <cell r="S124">
            <v>25.7</v>
          </cell>
          <cell r="T124">
            <v>18.5</v>
          </cell>
          <cell r="U124">
            <v>0</v>
          </cell>
          <cell r="BA124">
            <v>44.2</v>
          </cell>
          <cell r="BB124">
            <v>0</v>
          </cell>
          <cell r="BF124" t="str">
            <v>Ok</v>
          </cell>
        </row>
        <row r="125">
          <cell r="B125" t="str">
            <v>BEANIE CABANA</v>
          </cell>
          <cell r="R125">
            <v>5.0750000000000002</v>
          </cell>
          <cell r="S125">
            <v>94.7</v>
          </cell>
          <cell r="T125">
            <v>6</v>
          </cell>
          <cell r="U125">
            <v>0</v>
          </cell>
          <cell r="BA125">
            <v>100.7</v>
          </cell>
          <cell r="BB125">
            <v>0</v>
          </cell>
          <cell r="BF125" t="str">
            <v>Ok</v>
          </cell>
        </row>
        <row r="126">
          <cell r="B126" t="str">
            <v>BEANIE CANVAS</v>
          </cell>
          <cell r="R126">
            <v>0.375</v>
          </cell>
          <cell r="S126">
            <v>24.4</v>
          </cell>
          <cell r="T126">
            <v>19.399999999999999</v>
          </cell>
          <cell r="U126">
            <v>50.4</v>
          </cell>
          <cell r="BA126">
            <v>94.199999999999989</v>
          </cell>
          <cell r="BB126">
            <v>0</v>
          </cell>
          <cell r="BF126" t="str">
            <v>Ok</v>
          </cell>
        </row>
        <row r="127">
          <cell r="B127" t="str">
            <v>BEANIE CAVIAR</v>
          </cell>
          <cell r="R127">
            <v>0</v>
          </cell>
          <cell r="S127">
            <v>99</v>
          </cell>
          <cell r="T127">
            <v>0</v>
          </cell>
          <cell r="U127">
            <v>0</v>
          </cell>
          <cell r="BA127">
            <v>99</v>
          </cell>
          <cell r="BB127">
            <v>0</v>
          </cell>
          <cell r="BF127" t="str">
            <v>Ok</v>
          </cell>
        </row>
        <row r="128">
          <cell r="B128" t="str">
            <v>BEANIE HEMP</v>
          </cell>
          <cell r="R128">
            <v>6.7750000000000004</v>
          </cell>
          <cell r="S128">
            <v>67.900000000000006</v>
          </cell>
          <cell r="T128">
            <v>13.3</v>
          </cell>
          <cell r="U128">
            <v>0</v>
          </cell>
          <cell r="BA128">
            <v>81.2</v>
          </cell>
          <cell r="BB128">
            <v>0</v>
          </cell>
          <cell r="BF128" t="str">
            <v>Ok</v>
          </cell>
        </row>
        <row r="129">
          <cell r="B129" t="str">
            <v>BEANIE JUNGLE</v>
          </cell>
          <cell r="R129">
            <v>3.45</v>
          </cell>
          <cell r="S129">
            <v>94.1</v>
          </cell>
          <cell r="T129">
            <v>9.1</v>
          </cell>
          <cell r="U129">
            <v>0</v>
          </cell>
          <cell r="BA129">
            <v>103.19999999999999</v>
          </cell>
          <cell r="BB129">
            <v>0</v>
          </cell>
          <cell r="BF129" t="str">
            <v>Ok</v>
          </cell>
        </row>
        <row r="130">
          <cell r="B130" t="str">
            <v>BEANIE NATURE</v>
          </cell>
          <cell r="R130">
            <v>0.5</v>
          </cell>
          <cell r="S130">
            <v>38</v>
          </cell>
          <cell r="T130">
            <v>12.9</v>
          </cell>
          <cell r="U130">
            <v>0</v>
          </cell>
          <cell r="BA130">
            <v>50.9</v>
          </cell>
          <cell r="BB130">
            <v>0</v>
          </cell>
          <cell r="BF130" t="str">
            <v>Ok</v>
          </cell>
        </row>
        <row r="131">
          <cell r="B131" t="str">
            <v>BEANIE SUNSET</v>
          </cell>
          <cell r="R131">
            <v>2.9375</v>
          </cell>
          <cell r="S131">
            <v>47</v>
          </cell>
          <cell r="T131">
            <v>14.15</v>
          </cell>
          <cell r="U131">
            <v>0</v>
          </cell>
          <cell r="BA131">
            <v>61.15</v>
          </cell>
          <cell r="BB131">
            <v>0</v>
          </cell>
          <cell r="BF131" t="str">
            <v>Ok</v>
          </cell>
        </row>
        <row r="132">
          <cell r="B132" t="str">
            <v>BECKON CEMENT</v>
          </cell>
          <cell r="R132">
            <v>70.272500000000008</v>
          </cell>
          <cell r="S132">
            <v>207.58</v>
          </cell>
          <cell r="T132">
            <v>72.09</v>
          </cell>
          <cell r="U132">
            <v>0</v>
          </cell>
          <cell r="BA132">
            <v>377.67</v>
          </cell>
          <cell r="BB132">
            <v>0</v>
          </cell>
          <cell r="BF132" t="str">
            <v>Ok</v>
          </cell>
        </row>
        <row r="133">
          <cell r="B133" t="str">
            <v>BECKON INDIGO</v>
          </cell>
          <cell r="R133">
            <v>25.32</v>
          </cell>
          <cell r="S133">
            <v>80.28</v>
          </cell>
          <cell r="T133">
            <v>6.2</v>
          </cell>
          <cell r="U133">
            <v>0</v>
          </cell>
          <cell r="BA133">
            <v>86.48</v>
          </cell>
          <cell r="BB133">
            <v>0</v>
          </cell>
          <cell r="BF133" t="str">
            <v>Resurtir</v>
          </cell>
        </row>
        <row r="134">
          <cell r="B134" t="str">
            <v>BECKON METAL</v>
          </cell>
          <cell r="R134">
            <v>7.375</v>
          </cell>
          <cell r="S134">
            <v>94.37</v>
          </cell>
          <cell r="T134">
            <v>23.44</v>
          </cell>
          <cell r="U134">
            <v>49.38</v>
          </cell>
          <cell r="BA134">
            <v>167.19</v>
          </cell>
          <cell r="BB134">
            <v>0</v>
          </cell>
          <cell r="BF134" t="str">
            <v>Ok</v>
          </cell>
        </row>
        <row r="135">
          <cell r="B135" t="str">
            <v>BECKON POPPY</v>
          </cell>
          <cell r="R135">
            <v>4.5</v>
          </cell>
          <cell r="S135">
            <v>0</v>
          </cell>
          <cell r="T135">
            <v>0</v>
          </cell>
          <cell r="U135">
            <v>0</v>
          </cell>
          <cell r="BA135">
            <v>42</v>
          </cell>
          <cell r="BB135">
            <v>0</v>
          </cell>
          <cell r="BF135" t="str">
            <v>Ok</v>
          </cell>
        </row>
        <row r="136">
          <cell r="B136" t="str">
            <v>BECKON REED</v>
          </cell>
          <cell r="R136">
            <v>25.072500000000002</v>
          </cell>
          <cell r="S136">
            <v>263.94</v>
          </cell>
          <cell r="T136">
            <v>0</v>
          </cell>
          <cell r="U136">
            <v>0</v>
          </cell>
          <cell r="BA136">
            <v>363.94</v>
          </cell>
          <cell r="BB136">
            <v>0</v>
          </cell>
          <cell r="BF136" t="str">
            <v>Ok</v>
          </cell>
        </row>
        <row r="137">
          <cell r="B137" t="str">
            <v>BECKON SALT</v>
          </cell>
          <cell r="R137">
            <v>17.425000000000001</v>
          </cell>
          <cell r="S137">
            <v>74.66</v>
          </cell>
          <cell r="T137">
            <v>15.84</v>
          </cell>
          <cell r="U137">
            <v>0</v>
          </cell>
          <cell r="BA137">
            <v>90.5</v>
          </cell>
          <cell r="BB137">
            <v>0</v>
          </cell>
          <cell r="BF137" t="str">
            <v>Ok</v>
          </cell>
        </row>
        <row r="138">
          <cell r="B138" t="str">
            <v>BECKON SHELL</v>
          </cell>
          <cell r="R138">
            <v>65.875</v>
          </cell>
          <cell r="S138">
            <v>595.82000000000005</v>
          </cell>
          <cell r="T138">
            <v>85.67</v>
          </cell>
          <cell r="U138">
            <v>1396.18</v>
          </cell>
          <cell r="BA138">
            <v>2077.67</v>
          </cell>
          <cell r="BB138">
            <v>200</v>
          </cell>
          <cell r="BF138" t="str">
            <v>Ok</v>
          </cell>
        </row>
        <row r="139">
          <cell r="B139" t="str">
            <v>BELGIAN COTTON</v>
          </cell>
          <cell r="R139">
            <v>27.675000000000001</v>
          </cell>
          <cell r="S139">
            <v>326.99</v>
          </cell>
          <cell r="T139">
            <v>16.46</v>
          </cell>
          <cell r="U139">
            <v>0</v>
          </cell>
          <cell r="BA139">
            <v>343.45</v>
          </cell>
          <cell r="BB139">
            <v>0</v>
          </cell>
          <cell r="BF139" t="str">
            <v>Ok</v>
          </cell>
        </row>
        <row r="140">
          <cell r="B140" t="str">
            <v>BELGIAN FLAX</v>
          </cell>
          <cell r="R140">
            <v>152.48500000000001</v>
          </cell>
          <cell r="S140">
            <v>343.85</v>
          </cell>
          <cell r="T140">
            <v>75.709999999999994</v>
          </cell>
          <cell r="U140">
            <v>0</v>
          </cell>
          <cell r="BA140">
            <v>521.55999999999995</v>
          </cell>
          <cell r="BB140">
            <v>300</v>
          </cell>
          <cell r="BF140" t="str">
            <v>Resurtir</v>
          </cell>
        </row>
        <row r="141">
          <cell r="B141" t="str">
            <v>BELGIAN IRON</v>
          </cell>
          <cell r="R141">
            <v>3.6</v>
          </cell>
          <cell r="S141">
            <v>191.93</v>
          </cell>
          <cell r="T141">
            <v>0</v>
          </cell>
          <cell r="U141">
            <v>0</v>
          </cell>
          <cell r="BA141">
            <v>191.93</v>
          </cell>
          <cell r="BB141">
            <v>0</v>
          </cell>
          <cell r="BF141" t="str">
            <v>Ok</v>
          </cell>
        </row>
        <row r="142">
          <cell r="B142" t="str">
            <v>BELGIAN NICKEL</v>
          </cell>
          <cell r="R142">
            <v>80</v>
          </cell>
          <cell r="S142">
            <v>575.28</v>
          </cell>
          <cell r="T142">
            <v>81.7</v>
          </cell>
          <cell r="U142">
            <v>102.69</v>
          </cell>
          <cell r="BA142">
            <v>759.67000000000007</v>
          </cell>
          <cell r="BB142">
            <v>350</v>
          </cell>
          <cell r="BF142" t="str">
            <v>Ok</v>
          </cell>
        </row>
        <row r="143">
          <cell r="B143" t="str">
            <v>BELGIAN SAND</v>
          </cell>
          <cell r="R143">
            <v>36.125</v>
          </cell>
          <cell r="S143">
            <v>59.99</v>
          </cell>
          <cell r="T143">
            <v>56.68</v>
          </cell>
          <cell r="U143">
            <v>0</v>
          </cell>
          <cell r="BA143">
            <v>116.67</v>
          </cell>
          <cell r="BB143">
            <v>150</v>
          </cell>
          <cell r="BF143" t="str">
            <v>Resurtir</v>
          </cell>
        </row>
        <row r="144">
          <cell r="B144" t="str">
            <v>BELLA DOVE</v>
          </cell>
          <cell r="R144">
            <v>0</v>
          </cell>
          <cell r="S144">
            <v>67.400000000000006</v>
          </cell>
          <cell r="T144">
            <v>14.4</v>
          </cell>
          <cell r="U144">
            <v>0</v>
          </cell>
          <cell r="BA144">
            <v>81.800000000000011</v>
          </cell>
          <cell r="BB144">
            <v>0</v>
          </cell>
          <cell r="BF144" t="str">
            <v>Ok</v>
          </cell>
        </row>
        <row r="145">
          <cell r="B145" t="str">
            <v>BELOVED ARMY GREEN</v>
          </cell>
          <cell r="R145">
            <v>167.095</v>
          </cell>
          <cell r="S145">
            <v>805.7</v>
          </cell>
          <cell r="T145">
            <v>38.5</v>
          </cell>
          <cell r="U145">
            <v>0</v>
          </cell>
          <cell r="BA145">
            <v>2525.1999999999998</v>
          </cell>
          <cell r="BB145">
            <v>430</v>
          </cell>
          <cell r="BF145" t="str">
            <v>Ok</v>
          </cell>
        </row>
        <row r="146">
          <cell r="B146" t="str">
            <v>BELOVED BEIGE</v>
          </cell>
          <cell r="R146">
            <v>98.224999999999994</v>
          </cell>
          <cell r="S146">
            <v>369.4</v>
          </cell>
          <cell r="T146">
            <v>0</v>
          </cell>
          <cell r="U146">
            <v>2608.3000000000002</v>
          </cell>
          <cell r="BA146">
            <v>3818.7000000000003</v>
          </cell>
          <cell r="BB146">
            <v>830</v>
          </cell>
          <cell r="BF146" t="str">
            <v>Ok</v>
          </cell>
        </row>
        <row r="147">
          <cell r="B147" t="str">
            <v>BELOVED BLACK</v>
          </cell>
          <cell r="R147">
            <v>223.595</v>
          </cell>
          <cell r="S147">
            <v>773.4</v>
          </cell>
          <cell r="T147">
            <v>47.96</v>
          </cell>
          <cell r="U147">
            <v>0</v>
          </cell>
          <cell r="BA147">
            <v>821.36</v>
          </cell>
          <cell r="BB147">
            <v>1188</v>
          </cell>
          <cell r="BF147" t="str">
            <v>Resurtir</v>
          </cell>
        </row>
        <row r="148">
          <cell r="B148" t="str">
            <v>BELOVED DOVE</v>
          </cell>
          <cell r="R148">
            <v>14.035</v>
          </cell>
          <cell r="S148">
            <v>766.36</v>
          </cell>
          <cell r="T148">
            <v>8.4499999999999993</v>
          </cell>
          <cell r="U148">
            <v>842.4</v>
          </cell>
          <cell r="BA148">
            <v>1617.21</v>
          </cell>
          <cell r="BB148">
            <v>0</v>
          </cell>
          <cell r="BF148" t="str">
            <v>Ok</v>
          </cell>
        </row>
        <row r="149">
          <cell r="B149" t="str">
            <v>BELOVED FLAX</v>
          </cell>
          <cell r="R149">
            <v>43.45</v>
          </cell>
          <cell r="S149">
            <v>590.5</v>
          </cell>
          <cell r="T149">
            <v>10.8</v>
          </cell>
          <cell r="U149">
            <v>895.6</v>
          </cell>
          <cell r="BA149">
            <v>2389.9</v>
          </cell>
          <cell r="BB149">
            <v>150</v>
          </cell>
          <cell r="BF149" t="str">
            <v>Ok</v>
          </cell>
        </row>
        <row r="150">
          <cell r="B150" t="str">
            <v>BELOVED SILVER</v>
          </cell>
          <cell r="R150">
            <v>34.122500000000002</v>
          </cell>
          <cell r="S150">
            <v>716.3</v>
          </cell>
          <cell r="T150">
            <v>18.75</v>
          </cell>
          <cell r="U150">
            <v>953.4</v>
          </cell>
          <cell r="BA150">
            <v>1688.4499999999998</v>
          </cell>
          <cell r="BB150">
            <v>170</v>
          </cell>
          <cell r="BF150" t="str">
            <v>Ok</v>
          </cell>
        </row>
        <row r="151">
          <cell r="B151" t="str">
            <v>BELOVED SNOW</v>
          </cell>
          <cell r="R151">
            <v>36.65</v>
          </cell>
          <cell r="S151">
            <v>635.6</v>
          </cell>
          <cell r="T151">
            <v>0</v>
          </cell>
          <cell r="U151">
            <v>863.8</v>
          </cell>
          <cell r="BA151">
            <v>1499.4</v>
          </cell>
          <cell r="BB151">
            <v>0</v>
          </cell>
          <cell r="BF151" t="str">
            <v>Ok</v>
          </cell>
        </row>
        <row r="152">
          <cell r="B152" t="str">
            <v>BELOVED SPICE</v>
          </cell>
          <cell r="R152">
            <v>53.322500000000005</v>
          </cell>
          <cell r="S152">
            <v>480.2</v>
          </cell>
          <cell r="T152">
            <v>10.55</v>
          </cell>
          <cell r="U152">
            <v>960.6</v>
          </cell>
          <cell r="BA152">
            <v>2135.35</v>
          </cell>
          <cell r="BB152">
            <v>300</v>
          </cell>
          <cell r="BF152" t="str">
            <v>Ok</v>
          </cell>
        </row>
        <row r="153">
          <cell r="B153" t="str">
            <v>BELOVED WOOD</v>
          </cell>
          <cell r="R153">
            <v>52.695</v>
          </cell>
          <cell r="S153">
            <v>571.5</v>
          </cell>
          <cell r="T153">
            <v>6.95</v>
          </cell>
          <cell r="U153">
            <v>2541.4</v>
          </cell>
          <cell r="BA153">
            <v>3119.8500000000004</v>
          </cell>
          <cell r="BB153">
            <v>100</v>
          </cell>
          <cell r="BF153" t="str">
            <v>Ok</v>
          </cell>
        </row>
        <row r="154">
          <cell r="B154" t="str">
            <v>BELUCCI BLACK</v>
          </cell>
          <cell r="R154">
            <v>608.72500000000002</v>
          </cell>
          <cell r="S154">
            <v>901.1</v>
          </cell>
          <cell r="T154">
            <v>0</v>
          </cell>
          <cell r="U154">
            <v>0</v>
          </cell>
          <cell r="BA154">
            <v>2791.1</v>
          </cell>
          <cell r="BB154">
            <v>380</v>
          </cell>
          <cell r="BF154" t="str">
            <v>Ok</v>
          </cell>
        </row>
        <row r="155">
          <cell r="B155" t="str">
            <v>BELUCCI BRICK</v>
          </cell>
          <cell r="R155">
            <v>60.15</v>
          </cell>
          <cell r="S155">
            <v>27</v>
          </cell>
          <cell r="T155">
            <v>0</v>
          </cell>
          <cell r="U155">
            <v>705.7</v>
          </cell>
          <cell r="BA155">
            <v>732.7</v>
          </cell>
          <cell r="BB155">
            <v>150</v>
          </cell>
          <cell r="BF155" t="str">
            <v>Ok</v>
          </cell>
        </row>
        <row r="156">
          <cell r="B156" t="str">
            <v>BELUCCI ECRU</v>
          </cell>
          <cell r="R156">
            <v>393.22500000000002</v>
          </cell>
          <cell r="S156">
            <v>1486</v>
          </cell>
          <cell r="T156">
            <v>41.3</v>
          </cell>
          <cell r="U156">
            <v>0</v>
          </cell>
          <cell r="BA156">
            <v>2504.3000000000002</v>
          </cell>
          <cell r="BB156">
            <v>1050</v>
          </cell>
          <cell r="BF156" t="str">
            <v>Ok</v>
          </cell>
        </row>
        <row r="157">
          <cell r="B157" t="str">
            <v>BELUCCI FOG</v>
          </cell>
          <cell r="R157">
            <v>43.05</v>
          </cell>
          <cell r="S157">
            <v>1021.4</v>
          </cell>
          <cell r="T157">
            <v>30.8</v>
          </cell>
          <cell r="U157">
            <v>962.8</v>
          </cell>
          <cell r="BA157">
            <v>2015</v>
          </cell>
          <cell r="BB157">
            <v>100</v>
          </cell>
          <cell r="BF157" t="str">
            <v>Ok</v>
          </cell>
        </row>
        <row r="158">
          <cell r="B158" t="str">
            <v>BELUCCI FOSSIL</v>
          </cell>
          <cell r="R158">
            <v>147.935</v>
          </cell>
          <cell r="S158">
            <v>562.70000000000005</v>
          </cell>
          <cell r="T158">
            <v>47.46</v>
          </cell>
          <cell r="U158">
            <v>0</v>
          </cell>
          <cell r="BA158">
            <v>610.16000000000008</v>
          </cell>
          <cell r="BB158">
            <v>250</v>
          </cell>
          <cell r="BF158" t="str">
            <v>Resurtir</v>
          </cell>
        </row>
        <row r="159">
          <cell r="B159" t="str">
            <v>BELUCCI GREY</v>
          </cell>
          <cell r="R159">
            <v>130.25</v>
          </cell>
          <cell r="S159">
            <v>373.9</v>
          </cell>
          <cell r="T159">
            <v>71.2</v>
          </cell>
          <cell r="U159">
            <v>2116.1999999999998</v>
          </cell>
          <cell r="BA159">
            <v>2561.2999999999997</v>
          </cell>
          <cell r="BB159">
            <v>230</v>
          </cell>
          <cell r="BF159" t="str">
            <v>Ok</v>
          </cell>
        </row>
        <row r="160">
          <cell r="B160" t="str">
            <v>BELUCCI METAL</v>
          </cell>
          <cell r="R160">
            <v>12.025</v>
          </cell>
          <cell r="S160">
            <v>1005.7</v>
          </cell>
          <cell r="T160">
            <v>0</v>
          </cell>
          <cell r="U160">
            <v>0</v>
          </cell>
          <cell r="BA160">
            <v>1005.7</v>
          </cell>
          <cell r="BB160">
            <v>150</v>
          </cell>
          <cell r="BF160" t="str">
            <v>Ok</v>
          </cell>
        </row>
        <row r="161">
          <cell r="B161" t="str">
            <v>BELUCCI NAVY</v>
          </cell>
          <cell r="R161">
            <v>70.674999999999997</v>
          </cell>
          <cell r="S161">
            <v>471.6</v>
          </cell>
          <cell r="T161">
            <v>0</v>
          </cell>
          <cell r="U161">
            <v>0</v>
          </cell>
          <cell r="BA161">
            <v>471.6</v>
          </cell>
          <cell r="BB161">
            <v>350</v>
          </cell>
          <cell r="BF161" t="str">
            <v>Ok</v>
          </cell>
        </row>
        <row r="162">
          <cell r="B162" t="str">
            <v>BELUCCI OCEAN</v>
          </cell>
          <cell r="R162">
            <v>20.05</v>
          </cell>
          <cell r="S162">
            <v>463.3</v>
          </cell>
          <cell r="T162">
            <v>36</v>
          </cell>
          <cell r="U162">
            <v>0</v>
          </cell>
          <cell r="BA162">
            <v>499.3</v>
          </cell>
          <cell r="BB162">
            <v>0</v>
          </cell>
          <cell r="BF162" t="str">
            <v>Ok</v>
          </cell>
        </row>
        <row r="163">
          <cell r="B163" t="str">
            <v>BELUCCI OLIVE</v>
          </cell>
          <cell r="R163">
            <v>549.55000000000007</v>
          </cell>
          <cell r="S163">
            <v>904.3</v>
          </cell>
          <cell r="T163">
            <v>23.3</v>
          </cell>
          <cell r="U163">
            <v>0</v>
          </cell>
          <cell r="BA163">
            <v>2849.6</v>
          </cell>
          <cell r="BB163">
            <v>480</v>
          </cell>
          <cell r="BF163" t="str">
            <v>Ok</v>
          </cell>
        </row>
        <row r="164">
          <cell r="B164" t="str">
            <v>BELUCCI ROSE</v>
          </cell>
          <cell r="R164">
            <v>19.475000000000001</v>
          </cell>
          <cell r="S164">
            <v>322.60000000000002</v>
          </cell>
          <cell r="T164">
            <v>12</v>
          </cell>
          <cell r="U164">
            <v>0</v>
          </cell>
          <cell r="BA164">
            <v>334.6</v>
          </cell>
          <cell r="BB164">
            <v>50</v>
          </cell>
          <cell r="BF164" t="str">
            <v>Ok</v>
          </cell>
        </row>
        <row r="165">
          <cell r="B165" t="str">
            <v>BELUCCI SERENITY</v>
          </cell>
          <cell r="R165">
            <v>18.5</v>
          </cell>
          <cell r="S165">
            <v>671.1</v>
          </cell>
          <cell r="T165">
            <v>16.7</v>
          </cell>
          <cell r="U165">
            <v>0</v>
          </cell>
          <cell r="BA165">
            <v>687.80000000000007</v>
          </cell>
          <cell r="BB165">
            <v>0</v>
          </cell>
          <cell r="BF165" t="str">
            <v>Ok</v>
          </cell>
        </row>
        <row r="166">
          <cell r="B166" t="str">
            <v>BELUCCI STEEL</v>
          </cell>
          <cell r="R166">
            <v>295.32499999999999</v>
          </cell>
          <cell r="S166">
            <v>1525.7</v>
          </cell>
          <cell r="T166">
            <v>0</v>
          </cell>
          <cell r="U166">
            <v>0</v>
          </cell>
          <cell r="BA166">
            <v>2525.6999999999998</v>
          </cell>
          <cell r="BB166">
            <v>800</v>
          </cell>
          <cell r="BF166" t="str">
            <v>Ok</v>
          </cell>
        </row>
        <row r="167">
          <cell r="B167" t="str">
            <v>BENDER CHARCOAL</v>
          </cell>
          <cell r="R167">
            <v>3.3250000000000002</v>
          </cell>
          <cell r="S167">
            <v>95.65</v>
          </cell>
          <cell r="T167">
            <v>33.44</v>
          </cell>
          <cell r="U167">
            <v>255.95</v>
          </cell>
          <cell r="BA167">
            <v>385.03999999999996</v>
          </cell>
          <cell r="BB167">
            <v>0</v>
          </cell>
          <cell r="BF167" t="str">
            <v>Ok</v>
          </cell>
        </row>
        <row r="168">
          <cell r="B168" t="str">
            <v>BENDER COTTON</v>
          </cell>
          <cell r="R168">
            <v>14.5</v>
          </cell>
          <cell r="S168">
            <v>78.86</v>
          </cell>
          <cell r="T168">
            <v>17.690000000000001</v>
          </cell>
          <cell r="U168">
            <v>103.61</v>
          </cell>
          <cell r="BA168">
            <v>200.16</v>
          </cell>
          <cell r="BB168">
            <v>0</v>
          </cell>
          <cell r="BF168" t="str">
            <v>Ok</v>
          </cell>
        </row>
        <row r="169">
          <cell r="B169" t="str">
            <v>BENDER DOVE</v>
          </cell>
          <cell r="R169">
            <v>7</v>
          </cell>
          <cell r="S169">
            <v>143.81</v>
          </cell>
          <cell r="T169">
            <v>9.4</v>
          </cell>
          <cell r="U169">
            <v>102.69</v>
          </cell>
          <cell r="BA169">
            <v>255.9</v>
          </cell>
          <cell r="BB169">
            <v>0</v>
          </cell>
          <cell r="BF169" t="str">
            <v>Ok</v>
          </cell>
        </row>
        <row r="170">
          <cell r="B170" t="str">
            <v>BERGEN BEIGE</v>
          </cell>
          <cell r="R170">
            <v>48.25</v>
          </cell>
          <cell r="S170">
            <v>291.3</v>
          </cell>
          <cell r="T170">
            <v>70.400000000000006</v>
          </cell>
          <cell r="U170">
            <v>0</v>
          </cell>
          <cell r="BA170">
            <v>361.70000000000005</v>
          </cell>
          <cell r="BB170">
            <v>0</v>
          </cell>
          <cell r="BF170" t="str">
            <v>Ok</v>
          </cell>
        </row>
        <row r="171">
          <cell r="B171" t="str">
            <v>BERGEN BLACK</v>
          </cell>
          <cell r="R171">
            <v>71.275000000000006</v>
          </cell>
          <cell r="S171">
            <v>102.6</v>
          </cell>
          <cell r="T171">
            <v>5.3</v>
          </cell>
          <cell r="U171">
            <v>0</v>
          </cell>
          <cell r="BA171">
            <v>339.9</v>
          </cell>
          <cell r="BB171">
            <v>0</v>
          </cell>
          <cell r="BF171" t="str">
            <v>Ok</v>
          </cell>
        </row>
        <row r="172">
          <cell r="B172" t="str">
            <v>BERGEN CREAM</v>
          </cell>
          <cell r="R172">
            <v>21.125</v>
          </cell>
          <cell r="S172">
            <v>97.3</v>
          </cell>
          <cell r="T172">
            <v>14.2</v>
          </cell>
          <cell r="U172">
            <v>129</v>
          </cell>
          <cell r="BA172">
            <v>240.5</v>
          </cell>
          <cell r="BB172">
            <v>0</v>
          </cell>
          <cell r="BF172" t="str">
            <v>Ok</v>
          </cell>
        </row>
        <row r="173">
          <cell r="B173" t="str">
            <v>BERGEN IVORY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BA173">
            <v>0</v>
          </cell>
          <cell r="BB173">
            <v>0</v>
          </cell>
          <cell r="BF173" t="str">
            <v>Resurtir</v>
          </cell>
        </row>
        <row r="174">
          <cell r="B174" t="str">
            <v>BERGEN IVORY K</v>
          </cell>
          <cell r="R174">
            <v>49.075000000000003</v>
          </cell>
          <cell r="S174">
            <v>343.2</v>
          </cell>
          <cell r="T174">
            <v>9</v>
          </cell>
          <cell r="U174">
            <v>659.5</v>
          </cell>
          <cell r="BA174">
            <v>1011.7</v>
          </cell>
          <cell r="BB174">
            <v>0</v>
          </cell>
          <cell r="BF174" t="str">
            <v>Ok</v>
          </cell>
        </row>
        <row r="175">
          <cell r="B175" t="str">
            <v>BERGEN SNOW</v>
          </cell>
          <cell r="R175">
            <v>1.5</v>
          </cell>
          <cell r="S175">
            <v>50.6</v>
          </cell>
          <cell r="T175">
            <v>6.5</v>
          </cell>
          <cell r="U175">
            <v>0</v>
          </cell>
          <cell r="BA175">
            <v>57.1</v>
          </cell>
          <cell r="BB175">
            <v>50</v>
          </cell>
          <cell r="BF175" t="str">
            <v>Ok</v>
          </cell>
        </row>
        <row r="176">
          <cell r="B176" t="str">
            <v>BERGEN SNOW K</v>
          </cell>
          <cell r="R176">
            <v>54.375</v>
          </cell>
          <cell r="S176">
            <v>674.1</v>
          </cell>
          <cell r="T176">
            <v>39.6</v>
          </cell>
          <cell r="U176">
            <v>0</v>
          </cell>
          <cell r="BA176">
            <v>713.7</v>
          </cell>
          <cell r="BB176">
            <v>50</v>
          </cell>
          <cell r="BF176" t="str">
            <v>Ok</v>
          </cell>
        </row>
        <row r="177">
          <cell r="B177" t="str">
            <v>BERGEN STEEL</v>
          </cell>
          <cell r="R177">
            <v>4.5</v>
          </cell>
          <cell r="S177">
            <v>90</v>
          </cell>
          <cell r="T177">
            <v>5.2</v>
          </cell>
          <cell r="U177">
            <v>0</v>
          </cell>
          <cell r="BA177">
            <v>95.2</v>
          </cell>
          <cell r="BB177">
            <v>0</v>
          </cell>
          <cell r="BF177" t="str">
            <v>Ok</v>
          </cell>
        </row>
        <row r="178">
          <cell r="B178" t="str">
            <v>BERGEN STEEL K</v>
          </cell>
          <cell r="R178">
            <v>52.825000000000003</v>
          </cell>
          <cell r="S178">
            <v>292.89999999999998</v>
          </cell>
          <cell r="T178">
            <v>31.9</v>
          </cell>
          <cell r="U178">
            <v>593.29999999999995</v>
          </cell>
          <cell r="BA178">
            <v>918.09999999999991</v>
          </cell>
          <cell r="BB178">
            <v>300</v>
          </cell>
          <cell r="BF178" t="str">
            <v>Ok</v>
          </cell>
        </row>
        <row r="179">
          <cell r="B179" t="str">
            <v>BERMUDA BEACHGLASS</v>
          </cell>
          <cell r="R179">
            <v>0.27500000000000002</v>
          </cell>
          <cell r="S179">
            <v>29.85</v>
          </cell>
          <cell r="T179">
            <v>0</v>
          </cell>
          <cell r="U179">
            <v>0</v>
          </cell>
          <cell r="BA179">
            <v>29.85</v>
          </cell>
          <cell r="BB179">
            <v>0</v>
          </cell>
          <cell r="BF179" t="str">
            <v>Ok</v>
          </cell>
        </row>
        <row r="180">
          <cell r="B180" t="str">
            <v>BERMUDA OYSTER</v>
          </cell>
          <cell r="R180">
            <v>7</v>
          </cell>
          <cell r="S180">
            <v>22.1</v>
          </cell>
          <cell r="T180">
            <v>12.14</v>
          </cell>
          <cell r="U180">
            <v>0</v>
          </cell>
          <cell r="BA180">
            <v>34.24</v>
          </cell>
          <cell r="BB180">
            <v>0</v>
          </cell>
          <cell r="BF180" t="str">
            <v>Ok</v>
          </cell>
        </row>
        <row r="181">
          <cell r="B181" t="str">
            <v>BERMUDA PEARL</v>
          </cell>
          <cell r="R181">
            <v>10.45</v>
          </cell>
          <cell r="S181">
            <v>0</v>
          </cell>
          <cell r="T181">
            <v>10.8</v>
          </cell>
          <cell r="U181">
            <v>0</v>
          </cell>
          <cell r="BA181">
            <v>210.8</v>
          </cell>
          <cell r="BB181">
            <v>0</v>
          </cell>
          <cell r="BF181" t="str">
            <v>Ok</v>
          </cell>
        </row>
        <row r="182">
          <cell r="B182" t="str">
            <v>BERNADETTE CLAY</v>
          </cell>
          <cell r="R182">
            <v>49.404999999999994</v>
          </cell>
          <cell r="S182">
            <v>0</v>
          </cell>
          <cell r="T182">
            <v>0</v>
          </cell>
          <cell r="U182">
            <v>0</v>
          </cell>
          <cell r="BA182">
            <v>498</v>
          </cell>
          <cell r="BB182">
            <v>100</v>
          </cell>
          <cell r="BF182" t="str">
            <v>Ok</v>
          </cell>
        </row>
        <row r="183">
          <cell r="B183" t="str">
            <v>BERNADETTE DESERT</v>
          </cell>
          <cell r="R183">
            <v>35.064999999999998</v>
          </cell>
          <cell r="S183">
            <v>26.8</v>
          </cell>
          <cell r="T183">
            <v>17.899999999999999</v>
          </cell>
          <cell r="U183">
            <v>0</v>
          </cell>
          <cell r="BA183">
            <v>235.7</v>
          </cell>
          <cell r="BB183">
            <v>30</v>
          </cell>
          <cell r="BF183" t="str">
            <v>Ok</v>
          </cell>
        </row>
        <row r="184">
          <cell r="B184" t="str">
            <v>BERNADETTE FOSSIL</v>
          </cell>
          <cell r="R184">
            <v>45.379999999999995</v>
          </cell>
          <cell r="S184">
            <v>0</v>
          </cell>
          <cell r="T184">
            <v>0</v>
          </cell>
          <cell r="U184">
            <v>0</v>
          </cell>
          <cell r="BA184">
            <v>505</v>
          </cell>
          <cell r="BB184">
            <v>100</v>
          </cell>
          <cell r="BF184" t="str">
            <v>Ok</v>
          </cell>
        </row>
        <row r="185">
          <cell r="B185" t="str">
            <v>BIKENDI BLACK</v>
          </cell>
          <cell r="R185">
            <v>20.8</v>
          </cell>
          <cell r="S185">
            <v>978.3</v>
          </cell>
          <cell r="T185">
            <v>27.7</v>
          </cell>
          <cell r="U185">
            <v>0</v>
          </cell>
          <cell r="BA185">
            <v>1006</v>
          </cell>
          <cell r="BB185">
            <v>350</v>
          </cell>
          <cell r="BF185" t="str">
            <v>Ok</v>
          </cell>
        </row>
        <row r="186">
          <cell r="B186" t="str">
            <v>BIKENDI CREAM</v>
          </cell>
          <cell r="R186">
            <v>102.125</v>
          </cell>
          <cell r="S186">
            <v>159.4</v>
          </cell>
          <cell r="T186">
            <v>55.7</v>
          </cell>
          <cell r="U186">
            <v>0</v>
          </cell>
          <cell r="BA186">
            <v>1300.0999999999999</v>
          </cell>
          <cell r="BB186">
            <v>0</v>
          </cell>
          <cell r="BF186" t="str">
            <v>Ok</v>
          </cell>
        </row>
        <row r="187">
          <cell r="B187" t="str">
            <v>BIKENDI LINEN</v>
          </cell>
          <cell r="R187">
            <v>239.75</v>
          </cell>
          <cell r="S187">
            <v>1708.5</v>
          </cell>
          <cell r="T187">
            <v>27.5</v>
          </cell>
          <cell r="U187">
            <v>1062.5</v>
          </cell>
          <cell r="BA187">
            <v>3798.5</v>
          </cell>
          <cell r="BB187">
            <v>350</v>
          </cell>
          <cell r="BF187" t="str">
            <v>Ok</v>
          </cell>
        </row>
        <row r="188">
          <cell r="B188" t="str">
            <v>BIKENDI ZINC</v>
          </cell>
          <cell r="R188">
            <v>43.25</v>
          </cell>
          <cell r="S188">
            <v>172.8</v>
          </cell>
          <cell r="T188">
            <v>17.2</v>
          </cell>
          <cell r="U188">
            <v>789</v>
          </cell>
          <cell r="BA188">
            <v>979</v>
          </cell>
          <cell r="BB188">
            <v>150</v>
          </cell>
          <cell r="BF188" t="str">
            <v>Ok</v>
          </cell>
        </row>
        <row r="189">
          <cell r="B189" t="str">
            <v>BILLOW DOVE</v>
          </cell>
          <cell r="R189">
            <v>33.075000000000003</v>
          </cell>
          <cell r="S189">
            <v>294.66000000000003</v>
          </cell>
          <cell r="T189">
            <v>56.69</v>
          </cell>
          <cell r="U189">
            <v>0</v>
          </cell>
          <cell r="BA189">
            <v>351.35</v>
          </cell>
          <cell r="BB189">
            <v>150</v>
          </cell>
          <cell r="BF189" t="str">
            <v>Ok</v>
          </cell>
        </row>
        <row r="190">
          <cell r="B190" t="str">
            <v>BILLOW IVORY</v>
          </cell>
          <cell r="R190">
            <v>8.75</v>
          </cell>
          <cell r="S190">
            <v>370.46</v>
          </cell>
          <cell r="T190">
            <v>11.4</v>
          </cell>
          <cell r="U190">
            <v>0</v>
          </cell>
          <cell r="BA190">
            <v>381.85999999999996</v>
          </cell>
          <cell r="BB190">
            <v>40</v>
          </cell>
          <cell r="BF190" t="str">
            <v>Ok</v>
          </cell>
        </row>
        <row r="191">
          <cell r="B191" t="str">
            <v>BILLOW PEWTER</v>
          </cell>
          <cell r="R191">
            <v>18.375</v>
          </cell>
          <cell r="S191">
            <v>82.2</v>
          </cell>
          <cell r="T191">
            <v>18.190000000000001</v>
          </cell>
          <cell r="U191">
            <v>0</v>
          </cell>
          <cell r="BA191">
            <v>100.39</v>
          </cell>
          <cell r="BB191">
            <v>150</v>
          </cell>
          <cell r="BF191" t="str">
            <v>Resurtir</v>
          </cell>
        </row>
        <row r="192">
          <cell r="B192" t="str">
            <v>BISCOTTI DUNE</v>
          </cell>
          <cell r="R192">
            <v>2.7</v>
          </cell>
          <cell r="S192">
            <v>105.3</v>
          </cell>
          <cell r="T192">
            <v>0</v>
          </cell>
          <cell r="U192">
            <v>0</v>
          </cell>
          <cell r="BA192">
            <v>215.3</v>
          </cell>
          <cell r="BB192">
            <v>0</v>
          </cell>
          <cell r="BF192" t="str">
            <v>Ok</v>
          </cell>
        </row>
        <row r="193">
          <cell r="B193" t="str">
            <v>BLEND BLACK</v>
          </cell>
          <cell r="R193">
            <v>44.65</v>
          </cell>
          <cell r="S193">
            <v>614.70000000000005</v>
          </cell>
          <cell r="T193">
            <v>0</v>
          </cell>
          <cell r="U193">
            <v>0</v>
          </cell>
          <cell r="BA193">
            <v>614.70000000000005</v>
          </cell>
          <cell r="BB193">
            <v>0</v>
          </cell>
          <cell r="BF193" t="str">
            <v>Ok</v>
          </cell>
        </row>
        <row r="194">
          <cell r="B194" t="str">
            <v>BLEND COBALT</v>
          </cell>
          <cell r="R194">
            <v>53.7</v>
          </cell>
          <cell r="S194">
            <v>543</v>
          </cell>
          <cell r="T194">
            <v>6.7</v>
          </cell>
          <cell r="U194">
            <v>0</v>
          </cell>
          <cell r="BA194">
            <v>549.70000000000005</v>
          </cell>
          <cell r="BB194">
            <v>150</v>
          </cell>
          <cell r="BF194" t="str">
            <v>Ok</v>
          </cell>
        </row>
        <row r="195">
          <cell r="B195" t="str">
            <v>BLEND FLAX</v>
          </cell>
          <cell r="R195">
            <v>93</v>
          </cell>
          <cell r="S195">
            <v>314</v>
          </cell>
          <cell r="T195">
            <v>0</v>
          </cell>
          <cell r="U195">
            <v>1320.5</v>
          </cell>
          <cell r="BA195">
            <v>1634.5</v>
          </cell>
          <cell r="BB195">
            <v>250</v>
          </cell>
          <cell r="BF195" t="str">
            <v>Ok</v>
          </cell>
        </row>
        <row r="196">
          <cell r="B196" t="str">
            <v>BLEND MINERAL</v>
          </cell>
          <cell r="R196">
            <v>41.8</v>
          </cell>
          <cell r="S196">
            <v>394.9</v>
          </cell>
          <cell r="T196">
            <v>18.7</v>
          </cell>
          <cell r="U196">
            <v>1025.4000000000001</v>
          </cell>
          <cell r="BA196">
            <v>1439</v>
          </cell>
          <cell r="BB196">
            <v>400</v>
          </cell>
          <cell r="BF196" t="str">
            <v>Ok</v>
          </cell>
        </row>
        <row r="197">
          <cell r="B197" t="str">
            <v>BLEND NATURAL</v>
          </cell>
          <cell r="R197">
            <v>190.75</v>
          </cell>
          <cell r="S197">
            <v>844.7</v>
          </cell>
          <cell r="T197">
            <v>11.4</v>
          </cell>
          <cell r="U197">
            <v>0</v>
          </cell>
          <cell r="BA197">
            <v>2220.1</v>
          </cell>
          <cell r="BB197">
            <v>1700</v>
          </cell>
          <cell r="BF197" t="str">
            <v>Ok</v>
          </cell>
        </row>
        <row r="198">
          <cell r="B198" t="str">
            <v>BLEND TEAL</v>
          </cell>
          <cell r="R198">
            <v>0</v>
          </cell>
          <cell r="S198">
            <v>0</v>
          </cell>
          <cell r="T198">
            <v>13.65</v>
          </cell>
          <cell r="U198">
            <v>0</v>
          </cell>
          <cell r="BA198">
            <v>13.65</v>
          </cell>
          <cell r="BB198">
            <v>0</v>
          </cell>
          <cell r="BF198" t="str">
            <v>Ok</v>
          </cell>
        </row>
        <row r="199">
          <cell r="B199" t="str">
            <v>BLOOM BLACK</v>
          </cell>
          <cell r="R199">
            <v>937.75</v>
          </cell>
          <cell r="S199">
            <v>42.8</v>
          </cell>
          <cell r="T199">
            <v>15.5</v>
          </cell>
          <cell r="U199">
            <v>0</v>
          </cell>
          <cell r="BA199">
            <v>2640.3</v>
          </cell>
          <cell r="BB199">
            <v>1200</v>
          </cell>
          <cell r="BF199" t="str">
            <v>Resurtir</v>
          </cell>
        </row>
        <row r="200">
          <cell r="B200" t="str">
            <v>BLOOM CHOCOLATE</v>
          </cell>
          <cell r="R200">
            <v>71.125</v>
          </cell>
          <cell r="S200">
            <v>670.5</v>
          </cell>
          <cell r="T200">
            <v>9.6</v>
          </cell>
          <cell r="U200">
            <v>45.6</v>
          </cell>
          <cell r="BA200">
            <v>725.7</v>
          </cell>
          <cell r="BB200">
            <v>0</v>
          </cell>
          <cell r="BF200" t="str">
            <v>Ok</v>
          </cell>
        </row>
        <row r="201">
          <cell r="B201" t="str">
            <v>BLOOM GREY</v>
          </cell>
          <cell r="R201">
            <v>545.42500000000007</v>
          </cell>
          <cell r="S201">
            <v>165.1</v>
          </cell>
          <cell r="T201">
            <v>38.5</v>
          </cell>
          <cell r="U201">
            <v>0</v>
          </cell>
          <cell r="BA201">
            <v>2314.6</v>
          </cell>
          <cell r="BB201">
            <v>2050</v>
          </cell>
          <cell r="BF201" t="str">
            <v>Resurtir</v>
          </cell>
        </row>
        <row r="202">
          <cell r="B202" t="str">
            <v>BLOOM MICA</v>
          </cell>
          <cell r="R202">
            <v>182.6875</v>
          </cell>
          <cell r="S202">
            <v>207.2</v>
          </cell>
          <cell r="T202">
            <v>45.2</v>
          </cell>
          <cell r="U202">
            <v>0</v>
          </cell>
          <cell r="BA202">
            <v>1252.4000000000001</v>
          </cell>
          <cell r="BB202">
            <v>600</v>
          </cell>
          <cell r="BF202" t="str">
            <v>Ok</v>
          </cell>
        </row>
        <row r="203">
          <cell r="B203" t="str">
            <v>BLOOM MUSTARD</v>
          </cell>
          <cell r="R203">
            <v>180.12500000000003</v>
          </cell>
          <cell r="S203">
            <v>1271.7</v>
          </cell>
          <cell r="T203">
            <v>0</v>
          </cell>
          <cell r="U203">
            <v>0</v>
          </cell>
          <cell r="BA203">
            <v>1271.7</v>
          </cell>
          <cell r="BB203">
            <v>0</v>
          </cell>
          <cell r="BF203" t="str">
            <v>Ok</v>
          </cell>
        </row>
        <row r="204">
          <cell r="B204" t="str">
            <v>BLOOM SAND</v>
          </cell>
          <cell r="R204">
            <v>570.41250000000002</v>
          </cell>
          <cell r="S204">
            <v>0</v>
          </cell>
          <cell r="T204">
            <v>7.7</v>
          </cell>
          <cell r="U204">
            <v>0</v>
          </cell>
          <cell r="BA204">
            <v>2033.7</v>
          </cell>
          <cell r="BB204">
            <v>3050</v>
          </cell>
          <cell r="BF204" t="str">
            <v>Resurtir</v>
          </cell>
        </row>
        <row r="205">
          <cell r="B205" t="str">
            <v>BLOOM SMOKE</v>
          </cell>
          <cell r="R205">
            <v>111.76249999999999</v>
          </cell>
          <cell r="S205">
            <v>535.20000000000005</v>
          </cell>
          <cell r="T205">
            <v>60.2</v>
          </cell>
          <cell r="U205">
            <v>0</v>
          </cell>
          <cell r="BA205">
            <v>595.40000000000009</v>
          </cell>
          <cell r="BB205">
            <v>250</v>
          </cell>
          <cell r="BF205" t="str">
            <v>Ok</v>
          </cell>
        </row>
        <row r="206">
          <cell r="B206" t="str">
            <v>BLOOM WHITE</v>
          </cell>
          <cell r="R206">
            <v>705.625</v>
          </cell>
          <cell r="S206">
            <v>924.6</v>
          </cell>
          <cell r="T206">
            <v>43.7</v>
          </cell>
          <cell r="U206">
            <v>1185.2</v>
          </cell>
          <cell r="BA206">
            <v>2153.5</v>
          </cell>
          <cell r="BB206">
            <v>4150</v>
          </cell>
          <cell r="BF206" t="str">
            <v>Resurtir</v>
          </cell>
        </row>
        <row r="207">
          <cell r="B207" t="str">
            <v>BOA NATURAL</v>
          </cell>
          <cell r="R207">
            <v>4.6725000000000003</v>
          </cell>
          <cell r="S207">
            <v>144.51</v>
          </cell>
          <cell r="T207">
            <v>0</v>
          </cell>
          <cell r="U207">
            <v>236.7</v>
          </cell>
          <cell r="BA207">
            <v>381.21</v>
          </cell>
          <cell r="BB207">
            <v>0</v>
          </cell>
          <cell r="BF207" t="str">
            <v>Ok</v>
          </cell>
        </row>
        <row r="208">
          <cell r="B208" t="str">
            <v>BOA SAND</v>
          </cell>
          <cell r="R208">
            <v>1.2725</v>
          </cell>
          <cell r="S208">
            <v>181.31</v>
          </cell>
          <cell r="T208">
            <v>0</v>
          </cell>
          <cell r="U208">
            <v>0</v>
          </cell>
          <cell r="BA208">
            <v>181.31</v>
          </cell>
          <cell r="BB208">
            <v>0</v>
          </cell>
          <cell r="BF208" t="str">
            <v>Ok</v>
          </cell>
        </row>
        <row r="209">
          <cell r="B209" t="str">
            <v>BOA STERLING</v>
          </cell>
          <cell r="R209">
            <v>3.59</v>
          </cell>
          <cell r="S209">
            <v>151.69999999999999</v>
          </cell>
          <cell r="T209">
            <v>13.64</v>
          </cell>
          <cell r="U209">
            <v>232.9</v>
          </cell>
          <cell r="BA209">
            <v>398.24</v>
          </cell>
          <cell r="BB209">
            <v>0</v>
          </cell>
          <cell r="BF209" t="str">
            <v>Ok</v>
          </cell>
        </row>
        <row r="210">
          <cell r="B210" t="str">
            <v>BONO CHALK</v>
          </cell>
          <cell r="R210">
            <v>1.5</v>
          </cell>
          <cell r="S210">
            <v>114.6</v>
          </cell>
          <cell r="T210">
            <v>19.8</v>
          </cell>
          <cell r="U210">
            <v>0</v>
          </cell>
          <cell r="BA210">
            <v>134.4</v>
          </cell>
          <cell r="BB210">
            <v>0</v>
          </cell>
          <cell r="BF210" t="str">
            <v>Ok</v>
          </cell>
        </row>
        <row r="211">
          <cell r="B211" t="str">
            <v>BONTA NATURAL</v>
          </cell>
          <cell r="R211">
            <v>10</v>
          </cell>
          <cell r="S211">
            <v>78.2</v>
          </cell>
          <cell r="T211">
            <v>19.7</v>
          </cell>
          <cell r="U211">
            <v>0</v>
          </cell>
          <cell r="BA211">
            <v>97.9</v>
          </cell>
          <cell r="BB211">
            <v>0</v>
          </cell>
          <cell r="BF211" t="str">
            <v>Ok</v>
          </cell>
        </row>
        <row r="212">
          <cell r="B212" t="str">
            <v>BOON BEIGE</v>
          </cell>
          <cell r="R212">
            <v>124.175</v>
          </cell>
          <cell r="S212">
            <v>124.4</v>
          </cell>
          <cell r="T212">
            <v>3.7</v>
          </cell>
          <cell r="U212">
            <v>0</v>
          </cell>
          <cell r="BA212">
            <v>628.1</v>
          </cell>
          <cell r="BB212">
            <v>150</v>
          </cell>
          <cell r="BF212" t="str">
            <v>Ok</v>
          </cell>
        </row>
        <row r="213">
          <cell r="B213" t="str">
            <v>BOON IRON BLUE</v>
          </cell>
          <cell r="R213">
            <v>9.1999999999999993</v>
          </cell>
          <cell r="S213">
            <v>1510.3</v>
          </cell>
          <cell r="T213">
            <v>22.2</v>
          </cell>
          <cell r="U213">
            <v>0</v>
          </cell>
          <cell r="BA213">
            <v>1532.5</v>
          </cell>
          <cell r="BB213">
            <v>0</v>
          </cell>
          <cell r="BF213" t="str">
            <v>Ok</v>
          </cell>
        </row>
        <row r="214">
          <cell r="B214" t="str">
            <v>BOON ONYX</v>
          </cell>
          <cell r="R214">
            <v>112.425</v>
          </cell>
          <cell r="S214">
            <v>1306.7</v>
          </cell>
          <cell r="T214">
            <v>37.299999999999997</v>
          </cell>
          <cell r="U214">
            <v>0</v>
          </cell>
          <cell r="BA214">
            <v>1344</v>
          </cell>
          <cell r="BB214">
            <v>400</v>
          </cell>
          <cell r="BF214" t="str">
            <v>Ok</v>
          </cell>
        </row>
        <row r="215">
          <cell r="B215" t="str">
            <v>BOON STEEL</v>
          </cell>
          <cell r="R215">
            <v>0.25</v>
          </cell>
          <cell r="S215">
            <v>861.9</v>
          </cell>
          <cell r="T215">
            <v>0</v>
          </cell>
          <cell r="U215">
            <v>0</v>
          </cell>
          <cell r="BA215">
            <v>861.9</v>
          </cell>
          <cell r="BB215">
            <v>0</v>
          </cell>
          <cell r="BF215" t="str">
            <v>Ok</v>
          </cell>
        </row>
        <row r="216">
          <cell r="B216" t="str">
            <v>BOON WHITE</v>
          </cell>
          <cell r="R216">
            <v>91.224999999999994</v>
          </cell>
          <cell r="S216">
            <v>490.6</v>
          </cell>
          <cell r="T216">
            <v>45.4</v>
          </cell>
          <cell r="U216">
            <v>0</v>
          </cell>
          <cell r="BA216">
            <v>536</v>
          </cell>
          <cell r="BB216">
            <v>100</v>
          </cell>
          <cell r="BF216" t="str">
            <v>Ok</v>
          </cell>
        </row>
        <row r="217">
          <cell r="B217" t="str">
            <v>BOON ZINC</v>
          </cell>
          <cell r="R217">
            <v>6.8</v>
          </cell>
          <cell r="S217">
            <v>1026.7</v>
          </cell>
          <cell r="T217">
            <v>5.7</v>
          </cell>
          <cell r="U217">
            <v>0</v>
          </cell>
          <cell r="BA217">
            <v>1032.4000000000001</v>
          </cell>
          <cell r="BB217">
            <v>0</v>
          </cell>
          <cell r="BF217" t="str">
            <v>Ok</v>
          </cell>
        </row>
        <row r="218">
          <cell r="B218" t="str">
            <v>BORA BORA SANDSTONE</v>
          </cell>
          <cell r="R218">
            <v>0.52500000000000002</v>
          </cell>
          <cell r="S218">
            <v>342.7</v>
          </cell>
          <cell r="T218">
            <v>14.9</v>
          </cell>
          <cell r="U218">
            <v>0</v>
          </cell>
          <cell r="BA218">
            <v>357.59999999999997</v>
          </cell>
          <cell r="BB218">
            <v>0</v>
          </cell>
          <cell r="BF218" t="str">
            <v>Ok</v>
          </cell>
        </row>
        <row r="219">
          <cell r="B219" t="str">
            <v>BORA BORA TREASURE</v>
          </cell>
          <cell r="R219">
            <v>7.5500000000000007</v>
          </cell>
          <cell r="S219">
            <v>191.8</v>
          </cell>
          <cell r="T219">
            <v>25.9</v>
          </cell>
          <cell r="U219">
            <v>0</v>
          </cell>
          <cell r="BA219">
            <v>217.70000000000002</v>
          </cell>
          <cell r="BB219">
            <v>0</v>
          </cell>
          <cell r="BF219" t="str">
            <v>Ok</v>
          </cell>
        </row>
        <row r="220">
          <cell r="B220" t="str">
            <v>BRAXTON MERCURY</v>
          </cell>
          <cell r="R220">
            <v>238.35000000000002</v>
          </cell>
          <cell r="S220">
            <v>1062.5999999999999</v>
          </cell>
          <cell r="T220">
            <v>0</v>
          </cell>
          <cell r="U220">
            <v>165.6</v>
          </cell>
          <cell r="BA220">
            <v>3338.2</v>
          </cell>
          <cell r="BB220">
            <v>500</v>
          </cell>
          <cell r="BF220" t="str">
            <v>Ok</v>
          </cell>
        </row>
        <row r="221">
          <cell r="B221" t="str">
            <v>BRAXTON NATURE</v>
          </cell>
          <cell r="R221">
            <v>411.42500000000001</v>
          </cell>
          <cell r="S221">
            <v>298.7</v>
          </cell>
          <cell r="T221">
            <v>40.200000000000003</v>
          </cell>
          <cell r="U221">
            <v>54</v>
          </cell>
          <cell r="BA221">
            <v>2382.9</v>
          </cell>
          <cell r="BB221">
            <v>1450</v>
          </cell>
          <cell r="BF221" t="str">
            <v>Ok</v>
          </cell>
        </row>
        <row r="222">
          <cell r="B222" t="str">
            <v>BRAXTON OAT</v>
          </cell>
          <cell r="R222">
            <v>265.35000000000002</v>
          </cell>
          <cell r="S222">
            <v>1087.7</v>
          </cell>
          <cell r="T222">
            <v>13.3</v>
          </cell>
          <cell r="U222">
            <v>0</v>
          </cell>
          <cell r="BA222">
            <v>1101</v>
          </cell>
          <cell r="BB222">
            <v>500</v>
          </cell>
          <cell r="BF222" t="str">
            <v>Resurtir</v>
          </cell>
        </row>
        <row r="223">
          <cell r="B223" t="str">
            <v>BRAXTON OYSTER</v>
          </cell>
          <cell r="R223">
            <v>163.54999999999998</v>
          </cell>
          <cell r="S223">
            <v>372.5</v>
          </cell>
          <cell r="T223">
            <v>5.6</v>
          </cell>
          <cell r="U223">
            <v>1227</v>
          </cell>
          <cell r="BA223">
            <v>2605.1</v>
          </cell>
          <cell r="BB223">
            <v>800</v>
          </cell>
          <cell r="BF223" t="str">
            <v>Ok</v>
          </cell>
        </row>
        <row r="224">
          <cell r="B224" t="str">
            <v>BRAXTON SNOW</v>
          </cell>
          <cell r="R224">
            <v>104.175</v>
          </cell>
          <cell r="S224">
            <v>77.599999999999994</v>
          </cell>
          <cell r="T224">
            <v>38.4</v>
          </cell>
          <cell r="U224">
            <v>1061.0999999999999</v>
          </cell>
          <cell r="BA224">
            <v>2084.1</v>
          </cell>
          <cell r="BB224">
            <v>150</v>
          </cell>
          <cell r="BF224" t="str">
            <v>Ok</v>
          </cell>
        </row>
        <row r="225">
          <cell r="B225" t="str">
            <v>BRAZIL BARK</v>
          </cell>
          <cell r="R225">
            <v>1.25</v>
          </cell>
          <cell r="S225">
            <v>67.95</v>
          </cell>
          <cell r="T225">
            <v>0</v>
          </cell>
          <cell r="U225">
            <v>0</v>
          </cell>
          <cell r="BA225">
            <v>67.95</v>
          </cell>
          <cell r="BB225">
            <v>0</v>
          </cell>
          <cell r="BF225" t="str">
            <v>Ok</v>
          </cell>
        </row>
        <row r="226">
          <cell r="B226" t="str">
            <v>BRAZIL DENIM</v>
          </cell>
          <cell r="R226">
            <v>0</v>
          </cell>
          <cell r="S226">
            <v>43.59</v>
          </cell>
          <cell r="T226">
            <v>10</v>
          </cell>
          <cell r="U226">
            <v>0</v>
          </cell>
          <cell r="BA226">
            <v>53.59</v>
          </cell>
          <cell r="BB226">
            <v>0</v>
          </cell>
          <cell r="BF226" t="str">
            <v>Ok</v>
          </cell>
        </row>
        <row r="227">
          <cell r="B227" t="str">
            <v>BRAZIL SPA</v>
          </cell>
          <cell r="R227">
            <v>3.4</v>
          </cell>
          <cell r="S227">
            <v>24.41</v>
          </cell>
          <cell r="T227">
            <v>6.09</v>
          </cell>
          <cell r="U227">
            <v>95.46</v>
          </cell>
          <cell r="BA227">
            <v>125.96</v>
          </cell>
          <cell r="BB227">
            <v>0</v>
          </cell>
          <cell r="BF227" t="str">
            <v>Ok</v>
          </cell>
        </row>
        <row r="228">
          <cell r="B228" t="str">
            <v>BREATHE GREY</v>
          </cell>
          <cell r="R228">
            <v>7.375</v>
          </cell>
          <cell r="S228">
            <v>68.69</v>
          </cell>
          <cell r="T228">
            <v>36.15</v>
          </cell>
          <cell r="U228">
            <v>0</v>
          </cell>
          <cell r="BA228">
            <v>104.84</v>
          </cell>
          <cell r="BB228">
            <v>0</v>
          </cell>
          <cell r="BF228" t="str">
            <v>Ok</v>
          </cell>
        </row>
        <row r="229">
          <cell r="B229" t="str">
            <v>BRENT COGNAC</v>
          </cell>
          <cell r="R229">
            <v>1.19</v>
          </cell>
          <cell r="S229">
            <v>75.84</v>
          </cell>
          <cell r="T229">
            <v>0</v>
          </cell>
          <cell r="U229">
            <v>195.3</v>
          </cell>
          <cell r="BA229">
            <v>271.14</v>
          </cell>
          <cell r="BB229">
            <v>0</v>
          </cell>
          <cell r="BF229" t="str">
            <v>Ok</v>
          </cell>
        </row>
        <row r="230">
          <cell r="B230" t="str">
            <v>BRENT NICKEL</v>
          </cell>
          <cell r="R230">
            <v>1.2749999999999999</v>
          </cell>
          <cell r="S230">
            <v>76.400000000000006</v>
          </cell>
          <cell r="T230">
            <v>0</v>
          </cell>
          <cell r="U230">
            <v>194.6</v>
          </cell>
          <cell r="BA230">
            <v>271</v>
          </cell>
          <cell r="BB230">
            <v>0</v>
          </cell>
          <cell r="BF230" t="str">
            <v>Ok</v>
          </cell>
        </row>
        <row r="231">
          <cell r="B231" t="str">
            <v>BRENTWOOD BONE</v>
          </cell>
          <cell r="R231">
            <v>42.5</v>
          </cell>
          <cell r="S231">
            <v>325.60000000000002</v>
          </cell>
          <cell r="T231">
            <v>16</v>
          </cell>
          <cell r="U231">
            <v>0</v>
          </cell>
          <cell r="BA231">
            <v>673.6</v>
          </cell>
          <cell r="BB231">
            <v>180</v>
          </cell>
          <cell r="BF231" t="str">
            <v>Ok</v>
          </cell>
        </row>
        <row r="232">
          <cell r="B232" t="str">
            <v>BRENTWOOD CLOVE</v>
          </cell>
          <cell r="R232">
            <v>8</v>
          </cell>
          <cell r="S232">
            <v>487.1</v>
          </cell>
          <cell r="T232">
            <v>16.95</v>
          </cell>
          <cell r="U232">
            <v>0</v>
          </cell>
          <cell r="BA232">
            <v>811.05</v>
          </cell>
          <cell r="BB232">
            <v>20</v>
          </cell>
          <cell r="BF232" t="str">
            <v>Ok</v>
          </cell>
        </row>
        <row r="233">
          <cell r="B233" t="str">
            <v>BRENTWOOD HERB</v>
          </cell>
          <cell r="R233">
            <v>21.439999999999998</v>
          </cell>
          <cell r="S233">
            <v>439.8</v>
          </cell>
          <cell r="T233">
            <v>8.36</v>
          </cell>
          <cell r="U233">
            <v>0</v>
          </cell>
          <cell r="BA233">
            <v>755.16000000000008</v>
          </cell>
          <cell r="BB233">
            <v>20</v>
          </cell>
          <cell r="BF233" t="str">
            <v>Ok</v>
          </cell>
        </row>
        <row r="234">
          <cell r="B234" t="str">
            <v>BRENTWOOD NATURAL</v>
          </cell>
          <cell r="R234">
            <v>45.475000000000001</v>
          </cell>
          <cell r="S234">
            <v>337.35</v>
          </cell>
          <cell r="T234">
            <v>10.75</v>
          </cell>
          <cell r="U234">
            <v>0</v>
          </cell>
          <cell r="BA234">
            <v>960.1</v>
          </cell>
          <cell r="BB234">
            <v>0</v>
          </cell>
          <cell r="BF234" t="str">
            <v>Ok</v>
          </cell>
        </row>
        <row r="235">
          <cell r="B235" t="str">
            <v>BRENTWOOD PUTTY</v>
          </cell>
          <cell r="R235">
            <v>38.887499999999996</v>
          </cell>
          <cell r="S235">
            <v>354.3</v>
          </cell>
          <cell r="T235">
            <v>6.25</v>
          </cell>
          <cell r="U235">
            <v>40</v>
          </cell>
          <cell r="BA235">
            <v>887.55</v>
          </cell>
          <cell r="BB235">
            <v>50</v>
          </cell>
          <cell r="BF235" t="str">
            <v>Ok</v>
          </cell>
        </row>
        <row r="236">
          <cell r="B236" t="str">
            <v>BRENTWOOD WINE</v>
          </cell>
          <cell r="R236">
            <v>42.29</v>
          </cell>
          <cell r="S236">
            <v>344.6</v>
          </cell>
          <cell r="T236">
            <v>23.09</v>
          </cell>
          <cell r="U236">
            <v>0</v>
          </cell>
          <cell r="BA236">
            <v>656.69</v>
          </cell>
          <cell r="BB236">
            <v>440</v>
          </cell>
          <cell r="BF236" t="str">
            <v>Ok</v>
          </cell>
        </row>
        <row r="237">
          <cell r="B237" t="str">
            <v>BRETON CREAM</v>
          </cell>
          <cell r="R237">
            <v>0.25</v>
          </cell>
          <cell r="S237">
            <v>70.400000000000006</v>
          </cell>
          <cell r="T237">
            <v>43.2</v>
          </cell>
          <cell r="U237">
            <v>0</v>
          </cell>
          <cell r="BA237">
            <v>537.6</v>
          </cell>
          <cell r="BB237">
            <v>0</v>
          </cell>
          <cell r="BF237" t="str">
            <v>Ok</v>
          </cell>
        </row>
        <row r="238">
          <cell r="B238" t="str">
            <v>BRETON GRANITE</v>
          </cell>
          <cell r="R238">
            <v>0</v>
          </cell>
          <cell r="S238">
            <v>427.4</v>
          </cell>
          <cell r="T238">
            <v>5.4</v>
          </cell>
          <cell r="U238">
            <v>0</v>
          </cell>
          <cell r="BA238">
            <v>432.79999999999995</v>
          </cell>
          <cell r="BB238">
            <v>0</v>
          </cell>
          <cell r="BF238" t="str">
            <v>Ok</v>
          </cell>
        </row>
        <row r="239">
          <cell r="B239" t="str">
            <v>BRETON IVORY</v>
          </cell>
          <cell r="R239">
            <v>3.25</v>
          </cell>
          <cell r="S239">
            <v>362.9</v>
          </cell>
          <cell r="T239">
            <v>0</v>
          </cell>
          <cell r="U239">
            <v>0</v>
          </cell>
          <cell r="BA239">
            <v>362.9</v>
          </cell>
          <cell r="BB239">
            <v>0</v>
          </cell>
          <cell r="BF239" t="str">
            <v>Ok</v>
          </cell>
        </row>
        <row r="240">
          <cell r="B240" t="str">
            <v>BRETON TUKS</v>
          </cell>
          <cell r="R240">
            <v>0</v>
          </cell>
          <cell r="S240">
            <v>161</v>
          </cell>
          <cell r="T240">
            <v>10.3</v>
          </cell>
          <cell r="U240">
            <v>0</v>
          </cell>
          <cell r="BA240">
            <v>171.3</v>
          </cell>
          <cell r="BB240">
            <v>0</v>
          </cell>
          <cell r="BF240" t="str">
            <v>Ok</v>
          </cell>
        </row>
        <row r="241">
          <cell r="B241" t="str">
            <v>BRIGHT SIDE BLUE</v>
          </cell>
          <cell r="R241">
            <v>0.75</v>
          </cell>
          <cell r="S241">
            <v>0</v>
          </cell>
          <cell r="T241">
            <v>16</v>
          </cell>
          <cell r="U241">
            <v>0</v>
          </cell>
          <cell r="BA241">
            <v>54</v>
          </cell>
          <cell r="BB241">
            <v>0</v>
          </cell>
          <cell r="BF241" t="str">
            <v>Ok</v>
          </cell>
        </row>
        <row r="242">
          <cell r="B242" t="str">
            <v>BRIGHT SIDE CARBON</v>
          </cell>
          <cell r="R242">
            <v>12.675000000000001</v>
          </cell>
          <cell r="S242">
            <v>89.17</v>
          </cell>
          <cell r="T242">
            <v>19.399999999999999</v>
          </cell>
          <cell r="U242">
            <v>0</v>
          </cell>
          <cell r="BA242">
            <v>108.57</v>
          </cell>
          <cell r="BB242">
            <v>100</v>
          </cell>
          <cell r="BF242" t="str">
            <v>Ok</v>
          </cell>
        </row>
        <row r="243">
          <cell r="B243" t="str">
            <v>BRIGHT SIDE CHALK</v>
          </cell>
          <cell r="R243">
            <v>84.16749999999999</v>
          </cell>
          <cell r="S243">
            <v>401.68</v>
          </cell>
          <cell r="T243">
            <v>48.65</v>
          </cell>
          <cell r="U243">
            <v>272.48</v>
          </cell>
          <cell r="BA243">
            <v>722.81</v>
          </cell>
          <cell r="BB243">
            <v>0</v>
          </cell>
          <cell r="BF243" t="str">
            <v>Ok</v>
          </cell>
        </row>
        <row r="244">
          <cell r="B244" t="str">
            <v>BRIGHT SIDE DARK NAVY</v>
          </cell>
          <cell r="R244">
            <v>12.875</v>
          </cell>
          <cell r="S244">
            <v>168.87</v>
          </cell>
          <cell r="T244">
            <v>32.299999999999997</v>
          </cell>
          <cell r="U244">
            <v>0</v>
          </cell>
          <cell r="BA244">
            <v>201.17000000000002</v>
          </cell>
          <cell r="BB244">
            <v>0</v>
          </cell>
          <cell r="BF244" t="str">
            <v>Ok</v>
          </cell>
        </row>
        <row r="245">
          <cell r="B245" t="str">
            <v>BRIGHT SIDE GREY</v>
          </cell>
          <cell r="R245">
            <v>14.574999999999999</v>
          </cell>
          <cell r="S245">
            <v>56.47</v>
          </cell>
          <cell r="T245">
            <v>0</v>
          </cell>
          <cell r="U245">
            <v>0</v>
          </cell>
          <cell r="BA245">
            <v>156.47</v>
          </cell>
          <cell r="BB245">
            <v>0</v>
          </cell>
          <cell r="BF245" t="str">
            <v>Ok</v>
          </cell>
        </row>
        <row r="246">
          <cell r="B246" t="str">
            <v>CADDYSHACK NATURE</v>
          </cell>
          <cell r="R246">
            <v>0</v>
          </cell>
          <cell r="S246">
            <v>29.3</v>
          </cell>
          <cell r="T246">
            <v>10.3</v>
          </cell>
          <cell r="U246">
            <v>0</v>
          </cell>
          <cell r="BA246">
            <v>39.6</v>
          </cell>
          <cell r="BB246">
            <v>0</v>
          </cell>
          <cell r="BF246" t="str">
            <v>Ok</v>
          </cell>
        </row>
        <row r="247">
          <cell r="B247" t="str">
            <v>CADDYSHACK RAIN</v>
          </cell>
          <cell r="R247">
            <v>0</v>
          </cell>
          <cell r="S247">
            <v>33.700000000000003</v>
          </cell>
          <cell r="T247">
            <v>5.2</v>
          </cell>
          <cell r="U247">
            <v>0</v>
          </cell>
          <cell r="BA247">
            <v>38.900000000000006</v>
          </cell>
          <cell r="BB247">
            <v>0</v>
          </cell>
          <cell r="BF247" t="str">
            <v>Ok</v>
          </cell>
        </row>
        <row r="248">
          <cell r="B248" t="str">
            <v>CADDYSHACK TUXEDO</v>
          </cell>
          <cell r="R248">
            <v>0</v>
          </cell>
          <cell r="S248">
            <v>0</v>
          </cell>
          <cell r="T248">
            <v>30.3</v>
          </cell>
          <cell r="U248">
            <v>98.7</v>
          </cell>
          <cell r="BA248">
            <v>129</v>
          </cell>
          <cell r="BB248">
            <v>0</v>
          </cell>
          <cell r="BF248" t="str">
            <v>Ok</v>
          </cell>
        </row>
        <row r="249">
          <cell r="B249" t="str">
            <v>CAMARGUE BEIGE</v>
          </cell>
          <cell r="R249">
            <v>12.3</v>
          </cell>
          <cell r="S249">
            <v>139.19999999999999</v>
          </cell>
          <cell r="T249">
            <v>16.899999999999999</v>
          </cell>
          <cell r="U249">
            <v>175.7</v>
          </cell>
          <cell r="BA249">
            <v>331.79999999999995</v>
          </cell>
          <cell r="BB249">
            <v>0</v>
          </cell>
          <cell r="BF249" t="str">
            <v>Ok</v>
          </cell>
        </row>
        <row r="250">
          <cell r="B250" t="str">
            <v>CAMARGUE CHARCOAL</v>
          </cell>
          <cell r="R250">
            <v>0</v>
          </cell>
          <cell r="S250">
            <v>316.38</v>
          </cell>
          <cell r="T250">
            <v>0</v>
          </cell>
          <cell r="U250">
            <v>0</v>
          </cell>
          <cell r="BA250">
            <v>316.38</v>
          </cell>
          <cell r="BB250">
            <v>0</v>
          </cell>
          <cell r="BF250" t="str">
            <v>Ok</v>
          </cell>
        </row>
        <row r="251">
          <cell r="B251" t="str">
            <v>CAMARGUE CREAM</v>
          </cell>
          <cell r="R251">
            <v>72.099999999999994</v>
          </cell>
          <cell r="S251">
            <v>97.4</v>
          </cell>
          <cell r="T251">
            <v>6.6</v>
          </cell>
          <cell r="U251">
            <v>84</v>
          </cell>
          <cell r="BA251">
            <v>220</v>
          </cell>
          <cell r="BB251">
            <v>0</v>
          </cell>
          <cell r="BF251" t="str">
            <v>Resurtir</v>
          </cell>
        </row>
        <row r="252">
          <cell r="B252" t="str">
            <v>CAMARGUE MIDNIGHT</v>
          </cell>
          <cell r="R252">
            <v>6.6749999999999998</v>
          </cell>
          <cell r="S252">
            <v>31</v>
          </cell>
          <cell r="T252">
            <v>6.2</v>
          </cell>
          <cell r="U252">
            <v>0</v>
          </cell>
          <cell r="BA252">
            <v>37.200000000000003</v>
          </cell>
          <cell r="BB252">
            <v>0</v>
          </cell>
          <cell r="BF252" t="str">
            <v>Ok</v>
          </cell>
        </row>
        <row r="253">
          <cell r="B253" t="str">
            <v>CAMARGUE SAND</v>
          </cell>
          <cell r="R253">
            <v>22.274999999999999</v>
          </cell>
          <cell r="S253">
            <v>214.8</v>
          </cell>
          <cell r="T253">
            <v>62.35</v>
          </cell>
          <cell r="U253">
            <v>0</v>
          </cell>
          <cell r="BA253">
            <v>277.15000000000003</v>
          </cell>
          <cell r="BB253">
            <v>0</v>
          </cell>
          <cell r="BF253" t="str">
            <v>Ok</v>
          </cell>
        </row>
        <row r="254">
          <cell r="B254" t="str">
            <v>CAMARGUE SNOW</v>
          </cell>
          <cell r="R254">
            <v>0.875</v>
          </cell>
          <cell r="S254">
            <v>0</v>
          </cell>
          <cell r="T254">
            <v>18.7</v>
          </cell>
          <cell r="U254">
            <v>64.7</v>
          </cell>
          <cell r="BA254">
            <v>83.4</v>
          </cell>
          <cell r="BB254">
            <v>150</v>
          </cell>
          <cell r="BF254" t="str">
            <v>Resurtir</v>
          </cell>
        </row>
        <row r="255">
          <cell r="B255" t="str">
            <v>CAMARGUE SNOW K</v>
          </cell>
          <cell r="R255">
            <v>43.05</v>
          </cell>
          <cell r="S255">
            <v>225.8</v>
          </cell>
          <cell r="T255">
            <v>0</v>
          </cell>
          <cell r="U255">
            <v>0</v>
          </cell>
          <cell r="BA255">
            <v>225.8</v>
          </cell>
          <cell r="BB255">
            <v>0</v>
          </cell>
          <cell r="BF255" t="str">
            <v>Ok</v>
          </cell>
        </row>
        <row r="256">
          <cell r="B256" t="str">
            <v>CAMBRIDGE BEIGE</v>
          </cell>
          <cell r="R256">
            <v>122.675</v>
          </cell>
          <cell r="S256">
            <v>437.6</v>
          </cell>
          <cell r="T256">
            <v>62.5</v>
          </cell>
          <cell r="U256">
            <v>93.5</v>
          </cell>
          <cell r="BA256">
            <v>593.6</v>
          </cell>
          <cell r="BB256">
            <v>250</v>
          </cell>
          <cell r="BF256" t="str">
            <v>Ok</v>
          </cell>
        </row>
        <row r="257">
          <cell r="B257" t="str">
            <v>CAMBRIDGE DOVE</v>
          </cell>
          <cell r="R257">
            <v>34.75</v>
          </cell>
          <cell r="S257">
            <v>247</v>
          </cell>
          <cell r="T257">
            <v>48.3</v>
          </cell>
          <cell r="U257">
            <v>0</v>
          </cell>
          <cell r="BA257">
            <v>295.3</v>
          </cell>
          <cell r="BB257">
            <v>100</v>
          </cell>
          <cell r="BF257" t="str">
            <v>Ok</v>
          </cell>
        </row>
        <row r="258">
          <cell r="B258" t="str">
            <v>CAMBRIDGE EBONY</v>
          </cell>
          <cell r="R258">
            <v>37.1</v>
          </cell>
          <cell r="S258">
            <v>141.5</v>
          </cell>
          <cell r="T258">
            <v>20.2</v>
          </cell>
          <cell r="U258">
            <v>0</v>
          </cell>
          <cell r="BA258">
            <v>211.7</v>
          </cell>
          <cell r="BB258">
            <v>0</v>
          </cell>
          <cell r="BF258" t="str">
            <v>Ok</v>
          </cell>
        </row>
        <row r="259">
          <cell r="B259" t="str">
            <v>CAMBRIDGE OLIVE</v>
          </cell>
          <cell r="R259">
            <v>48.087500000000006</v>
          </cell>
          <cell r="S259">
            <v>157.80000000000001</v>
          </cell>
          <cell r="T259">
            <v>99</v>
          </cell>
          <cell r="U259">
            <v>0</v>
          </cell>
          <cell r="BA259">
            <v>256.8</v>
          </cell>
          <cell r="BB259">
            <v>0</v>
          </cell>
          <cell r="BF259" t="str">
            <v>Ok</v>
          </cell>
        </row>
        <row r="260">
          <cell r="B260" t="str">
            <v>CAMBRIDGE PEWTER</v>
          </cell>
          <cell r="R260">
            <v>1.5</v>
          </cell>
          <cell r="S260">
            <v>92.5</v>
          </cell>
          <cell r="T260">
            <v>0</v>
          </cell>
          <cell r="U260">
            <v>87</v>
          </cell>
          <cell r="BA260">
            <v>179.5</v>
          </cell>
          <cell r="BB260">
            <v>200</v>
          </cell>
          <cell r="BF260" t="str">
            <v>Resurtir</v>
          </cell>
        </row>
        <row r="261">
          <cell r="B261" t="str">
            <v>CAMBRIDGE ROSE</v>
          </cell>
          <cell r="R261">
            <v>25.224999999999998</v>
          </cell>
          <cell r="S261">
            <v>143.69999999999999</v>
          </cell>
          <cell r="T261">
            <v>0</v>
          </cell>
          <cell r="U261">
            <v>0</v>
          </cell>
          <cell r="BA261">
            <v>143.69999999999999</v>
          </cell>
          <cell r="BB261">
            <v>0</v>
          </cell>
          <cell r="BF261" t="str">
            <v>Ok</v>
          </cell>
        </row>
        <row r="262">
          <cell r="B262" t="str">
            <v>CAMBRIDGE SERENITY</v>
          </cell>
          <cell r="R262">
            <v>17.5</v>
          </cell>
          <cell r="S262">
            <v>0</v>
          </cell>
          <cell r="T262">
            <v>0</v>
          </cell>
          <cell r="U262">
            <v>63.5</v>
          </cell>
          <cell r="BA262">
            <v>125.5</v>
          </cell>
          <cell r="BB262">
            <v>50</v>
          </cell>
          <cell r="BF262" t="str">
            <v>Ok</v>
          </cell>
        </row>
        <row r="263">
          <cell r="B263" t="str">
            <v>CAMBRIDGE SILVER</v>
          </cell>
          <cell r="R263">
            <v>15</v>
          </cell>
          <cell r="S263">
            <v>28</v>
          </cell>
          <cell r="T263">
            <v>29</v>
          </cell>
          <cell r="U263">
            <v>62</v>
          </cell>
          <cell r="BA263">
            <v>119</v>
          </cell>
          <cell r="BB263">
            <v>0</v>
          </cell>
          <cell r="BF263" t="str">
            <v>Ok</v>
          </cell>
        </row>
        <row r="264">
          <cell r="B264" t="str">
            <v>CAMBRIDGE SNOW</v>
          </cell>
          <cell r="R264">
            <v>1</v>
          </cell>
          <cell r="S264">
            <v>141.80000000000001</v>
          </cell>
          <cell r="T264">
            <v>50.5</v>
          </cell>
          <cell r="U264">
            <v>0</v>
          </cell>
          <cell r="BA264">
            <v>192.3</v>
          </cell>
          <cell r="BB264">
            <v>200</v>
          </cell>
          <cell r="BF264" t="str">
            <v>Resurtir</v>
          </cell>
        </row>
        <row r="265">
          <cell r="B265" t="str">
            <v>CANNOLI CONFETTI</v>
          </cell>
          <cell r="R265">
            <v>2.95</v>
          </cell>
          <cell r="S265">
            <v>0</v>
          </cell>
          <cell r="T265">
            <v>29.3</v>
          </cell>
          <cell r="U265">
            <v>0</v>
          </cell>
          <cell r="BA265">
            <v>29.3</v>
          </cell>
          <cell r="BB265">
            <v>0</v>
          </cell>
          <cell r="BF265" t="str">
            <v>Ok</v>
          </cell>
        </row>
        <row r="266">
          <cell r="B266" t="str">
            <v>CANTERBURY MIST</v>
          </cell>
          <cell r="R266">
            <v>0.52500000000000002</v>
          </cell>
          <cell r="S266">
            <v>54.52</v>
          </cell>
          <cell r="T266">
            <v>0</v>
          </cell>
          <cell r="U266">
            <v>0</v>
          </cell>
          <cell r="BA266">
            <v>54.52</v>
          </cell>
          <cell r="BB266">
            <v>0</v>
          </cell>
          <cell r="BF266" t="str">
            <v>Ok</v>
          </cell>
        </row>
        <row r="267">
          <cell r="B267" t="str">
            <v>CANTERBURY PEWTER</v>
          </cell>
          <cell r="R267">
            <v>0</v>
          </cell>
          <cell r="S267">
            <v>208.7</v>
          </cell>
          <cell r="T267">
            <v>34.700000000000003</v>
          </cell>
          <cell r="U267">
            <v>0</v>
          </cell>
          <cell r="BA267">
            <v>243.39999999999998</v>
          </cell>
          <cell r="BB267">
            <v>0</v>
          </cell>
          <cell r="BF267" t="str">
            <v>Ok</v>
          </cell>
        </row>
        <row r="268">
          <cell r="B268" t="str">
            <v>CAPADOCIA LINEN</v>
          </cell>
          <cell r="R268">
            <v>5.3999999999999995</v>
          </cell>
          <cell r="S268">
            <v>131.5</v>
          </cell>
          <cell r="T268">
            <v>0</v>
          </cell>
          <cell r="U268">
            <v>0</v>
          </cell>
          <cell r="BA268">
            <v>131.5</v>
          </cell>
          <cell r="BB268">
            <v>0</v>
          </cell>
          <cell r="BF268" t="str">
            <v>Ok</v>
          </cell>
        </row>
        <row r="269">
          <cell r="B269" t="str">
            <v>CAROSELLO ECRU</v>
          </cell>
          <cell r="R269">
            <v>0</v>
          </cell>
          <cell r="S269">
            <v>39.700000000000003</v>
          </cell>
          <cell r="T269">
            <v>16.2</v>
          </cell>
          <cell r="U269">
            <v>39.299999999999997</v>
          </cell>
          <cell r="BA269">
            <v>95.2</v>
          </cell>
          <cell r="BB269">
            <v>0</v>
          </cell>
          <cell r="BF269" t="str">
            <v>Ok</v>
          </cell>
        </row>
        <row r="270">
          <cell r="B270" t="str">
            <v>CASCIA BLUSH</v>
          </cell>
          <cell r="R270">
            <v>5.875</v>
          </cell>
          <cell r="S270">
            <v>107.4</v>
          </cell>
          <cell r="T270">
            <v>0</v>
          </cell>
          <cell r="U270">
            <v>0</v>
          </cell>
          <cell r="BA270">
            <v>107.4</v>
          </cell>
          <cell r="BB270">
            <v>0</v>
          </cell>
          <cell r="BF270" t="str">
            <v>Ok</v>
          </cell>
        </row>
        <row r="271">
          <cell r="B271" t="str">
            <v>CASCIA FLAX</v>
          </cell>
          <cell r="R271">
            <v>7.5</v>
          </cell>
          <cell r="S271">
            <v>0</v>
          </cell>
          <cell r="T271">
            <v>14.2</v>
          </cell>
          <cell r="U271">
            <v>0</v>
          </cell>
          <cell r="BA271">
            <v>248.2</v>
          </cell>
          <cell r="BB271">
            <v>0</v>
          </cell>
          <cell r="BF271" t="str">
            <v>Ok</v>
          </cell>
        </row>
        <row r="272">
          <cell r="B272" t="str">
            <v>CASCIA PORCELAIN</v>
          </cell>
          <cell r="R272">
            <v>4.5250000000000004</v>
          </cell>
          <cell r="S272">
            <v>95.2</v>
          </cell>
          <cell r="T272">
            <v>0</v>
          </cell>
          <cell r="U272">
            <v>0</v>
          </cell>
          <cell r="BA272">
            <v>95.2</v>
          </cell>
          <cell r="BB272">
            <v>0</v>
          </cell>
          <cell r="BF272" t="str">
            <v>Ok</v>
          </cell>
        </row>
        <row r="273">
          <cell r="B273" t="str">
            <v>CASEY OASIS</v>
          </cell>
          <cell r="R273">
            <v>3.25</v>
          </cell>
          <cell r="S273">
            <v>71.400000000000006</v>
          </cell>
          <cell r="T273">
            <v>0</v>
          </cell>
          <cell r="U273">
            <v>0</v>
          </cell>
          <cell r="BA273">
            <v>71.400000000000006</v>
          </cell>
          <cell r="BB273">
            <v>0</v>
          </cell>
          <cell r="BF273" t="str">
            <v>Ok</v>
          </cell>
        </row>
        <row r="274">
          <cell r="B274" t="str">
            <v>CASEY TOPAZ</v>
          </cell>
          <cell r="R274">
            <v>5</v>
          </cell>
          <cell r="S274">
            <v>0</v>
          </cell>
          <cell r="T274">
            <v>6.45</v>
          </cell>
          <cell r="U274">
            <v>0</v>
          </cell>
          <cell r="BA274">
            <v>99.45</v>
          </cell>
          <cell r="BB274">
            <v>0</v>
          </cell>
          <cell r="BF274" t="str">
            <v>Ok</v>
          </cell>
        </row>
        <row r="275">
          <cell r="B275" t="str">
            <v>CASSIS CHARCOAL</v>
          </cell>
          <cell r="R275">
            <v>621.95000000000005</v>
          </cell>
          <cell r="S275">
            <v>1549.7</v>
          </cell>
          <cell r="T275">
            <v>16</v>
          </cell>
          <cell r="U275">
            <v>0</v>
          </cell>
          <cell r="BA275">
            <v>6655.7</v>
          </cell>
          <cell r="BB275">
            <v>6350</v>
          </cell>
          <cell r="BF275" t="str">
            <v>Ok</v>
          </cell>
        </row>
        <row r="276">
          <cell r="B276" t="str">
            <v>CASSIS FOSSIL</v>
          </cell>
          <cell r="R276">
            <v>1176.2</v>
          </cell>
          <cell r="S276">
            <v>21.7</v>
          </cell>
          <cell r="T276">
            <v>11.7</v>
          </cell>
          <cell r="U276">
            <v>0</v>
          </cell>
          <cell r="BA276">
            <v>10063.4</v>
          </cell>
          <cell r="BB276">
            <v>15310</v>
          </cell>
          <cell r="BF276" t="str">
            <v>Resurtir</v>
          </cell>
        </row>
        <row r="277">
          <cell r="B277" t="str">
            <v>CASSIS IVORY</v>
          </cell>
          <cell r="R277">
            <v>617.7299999999999</v>
          </cell>
          <cell r="S277">
            <v>1389.2</v>
          </cell>
          <cell r="T277">
            <v>5.8</v>
          </cell>
          <cell r="U277">
            <v>0</v>
          </cell>
          <cell r="BA277">
            <v>3191</v>
          </cell>
          <cell r="BB277">
            <v>3100</v>
          </cell>
          <cell r="BF277" t="str">
            <v>Ok</v>
          </cell>
        </row>
        <row r="278">
          <cell r="B278" t="str">
            <v>CASSIS NATURE</v>
          </cell>
          <cell r="R278">
            <v>373.28999999999996</v>
          </cell>
          <cell r="S278">
            <v>942.5</v>
          </cell>
          <cell r="T278">
            <v>64.540000000000006</v>
          </cell>
          <cell r="U278">
            <v>2721.4</v>
          </cell>
          <cell r="BA278">
            <v>8542.44</v>
          </cell>
          <cell r="BB278">
            <v>9200</v>
          </cell>
          <cell r="BF278" t="str">
            <v>Resurtir</v>
          </cell>
        </row>
        <row r="279">
          <cell r="B279" t="str">
            <v>CASSIS PUTTY</v>
          </cell>
          <cell r="R279">
            <v>425.875</v>
          </cell>
          <cell r="S279">
            <v>1888.4</v>
          </cell>
          <cell r="T279">
            <v>18.3</v>
          </cell>
          <cell r="U279">
            <v>0</v>
          </cell>
          <cell r="BA279">
            <v>6483.7</v>
          </cell>
          <cell r="BB279">
            <v>6430</v>
          </cell>
          <cell r="BF279" t="str">
            <v>Ok</v>
          </cell>
        </row>
        <row r="280">
          <cell r="B280" t="str">
            <v>CASSIS WOOD</v>
          </cell>
          <cell r="R280">
            <v>168.32500000000005</v>
          </cell>
          <cell r="S280">
            <v>106</v>
          </cell>
          <cell r="T280">
            <v>18.600000000000001</v>
          </cell>
          <cell r="U280">
            <v>0</v>
          </cell>
          <cell r="BA280">
            <v>723.6</v>
          </cell>
          <cell r="BB280">
            <v>1100</v>
          </cell>
          <cell r="BF280" t="str">
            <v>Resurtir</v>
          </cell>
        </row>
        <row r="281">
          <cell r="B281" t="str">
            <v>CELESTIAL ALABASTER</v>
          </cell>
          <cell r="R281">
            <v>39.375</v>
          </cell>
          <cell r="S281">
            <v>463.5</v>
          </cell>
          <cell r="T281">
            <v>0</v>
          </cell>
          <cell r="U281">
            <v>0</v>
          </cell>
          <cell r="BA281">
            <v>669.5</v>
          </cell>
          <cell r="BB281">
            <v>150</v>
          </cell>
          <cell r="BF281" t="str">
            <v>Ok</v>
          </cell>
        </row>
        <row r="282">
          <cell r="B282" t="str">
            <v>CHAIMA COTTON</v>
          </cell>
          <cell r="R282">
            <v>2.2000000000000002</v>
          </cell>
          <cell r="S282">
            <v>68.8</v>
          </cell>
          <cell r="T282">
            <v>6.9</v>
          </cell>
          <cell r="U282">
            <v>0</v>
          </cell>
          <cell r="BA282">
            <v>75.7</v>
          </cell>
          <cell r="BB282">
            <v>0</v>
          </cell>
          <cell r="BF282" t="str">
            <v>Ok</v>
          </cell>
        </row>
        <row r="283">
          <cell r="B283" t="str">
            <v>CHAIMA FOSSIL</v>
          </cell>
          <cell r="R283">
            <v>4.8</v>
          </cell>
          <cell r="S283">
            <v>92</v>
          </cell>
          <cell r="T283">
            <v>0</v>
          </cell>
          <cell r="U283">
            <v>0</v>
          </cell>
          <cell r="BA283">
            <v>92</v>
          </cell>
          <cell r="BB283">
            <v>0</v>
          </cell>
          <cell r="BF283" t="str">
            <v>Ok</v>
          </cell>
        </row>
        <row r="284">
          <cell r="B284" t="str">
            <v>CHECK DOMINO</v>
          </cell>
          <cell r="R284">
            <v>14.575000000000001</v>
          </cell>
          <cell r="S284">
            <v>414.5</v>
          </cell>
          <cell r="T284">
            <v>0</v>
          </cell>
          <cell r="U284">
            <v>0</v>
          </cell>
          <cell r="BA284">
            <v>414.5</v>
          </cell>
          <cell r="BB284">
            <v>0</v>
          </cell>
          <cell r="BF284" t="str">
            <v>Ok</v>
          </cell>
        </row>
        <row r="285">
          <cell r="B285" t="str">
            <v>CHECK FLAX</v>
          </cell>
          <cell r="R285">
            <v>14.75</v>
          </cell>
          <cell r="S285">
            <v>321.39999999999998</v>
          </cell>
          <cell r="T285">
            <v>6.2</v>
          </cell>
          <cell r="U285">
            <v>0</v>
          </cell>
          <cell r="BA285">
            <v>327.59999999999997</v>
          </cell>
          <cell r="BB285">
            <v>0</v>
          </cell>
          <cell r="BF285" t="str">
            <v>Ok</v>
          </cell>
        </row>
        <row r="286">
          <cell r="B286" t="str">
            <v>CHECK GREY</v>
          </cell>
          <cell r="R286">
            <v>0.875</v>
          </cell>
          <cell r="S286">
            <v>239</v>
          </cell>
          <cell r="T286">
            <v>0</v>
          </cell>
          <cell r="U286">
            <v>0</v>
          </cell>
          <cell r="BA286">
            <v>239</v>
          </cell>
          <cell r="BB286">
            <v>0</v>
          </cell>
          <cell r="BF286" t="str">
            <v>Ok</v>
          </cell>
        </row>
        <row r="287">
          <cell r="B287" t="str">
            <v>CHRONO BABY PINK</v>
          </cell>
          <cell r="R287">
            <v>16.675000000000001</v>
          </cell>
          <cell r="S287">
            <v>0</v>
          </cell>
          <cell r="T287">
            <v>10.4</v>
          </cell>
          <cell r="U287">
            <v>0</v>
          </cell>
          <cell r="BA287">
            <v>94.4</v>
          </cell>
          <cell r="BB287">
            <v>0</v>
          </cell>
          <cell r="BF287" t="str">
            <v>Ok</v>
          </cell>
        </row>
        <row r="288">
          <cell r="B288" t="str">
            <v>CHRONO BLACK</v>
          </cell>
          <cell r="R288">
            <v>0.9</v>
          </cell>
          <cell r="S288">
            <v>91</v>
          </cell>
          <cell r="T288">
            <v>35.799999999999997</v>
          </cell>
          <cell r="U288">
            <v>33.799999999999997</v>
          </cell>
          <cell r="BA288">
            <v>160.6</v>
          </cell>
          <cell r="BB288">
            <v>0</v>
          </cell>
          <cell r="BF288" t="str">
            <v>Ok</v>
          </cell>
        </row>
        <row r="289">
          <cell r="B289" t="str">
            <v>CHRONO BLACK-K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BA289">
            <v>0</v>
          </cell>
          <cell r="BB289">
            <v>0</v>
          </cell>
          <cell r="BF289" t="str">
            <v>Resurtir</v>
          </cell>
        </row>
        <row r="290">
          <cell r="B290" t="str">
            <v>CHRONO BRICK</v>
          </cell>
          <cell r="R290">
            <v>6.75</v>
          </cell>
          <cell r="S290">
            <v>0</v>
          </cell>
          <cell r="T290">
            <v>45.35</v>
          </cell>
          <cell r="U290">
            <v>157.5</v>
          </cell>
          <cell r="BA290">
            <v>202.85</v>
          </cell>
          <cell r="BB290">
            <v>0</v>
          </cell>
          <cell r="BF290" t="str">
            <v>Ok</v>
          </cell>
        </row>
        <row r="291">
          <cell r="B291" t="str">
            <v>CHRONO CALYPSO</v>
          </cell>
          <cell r="R291">
            <v>8.375</v>
          </cell>
          <cell r="S291">
            <v>123.9</v>
          </cell>
          <cell r="T291">
            <v>0</v>
          </cell>
          <cell r="U291">
            <v>67</v>
          </cell>
          <cell r="BA291">
            <v>190.9</v>
          </cell>
          <cell r="BB291">
            <v>0</v>
          </cell>
          <cell r="BF291" t="str">
            <v>Ok</v>
          </cell>
        </row>
        <row r="292">
          <cell r="B292" t="str">
            <v>CHRONO CHARCOAL</v>
          </cell>
          <cell r="R292">
            <v>0</v>
          </cell>
          <cell r="S292">
            <v>109.7</v>
          </cell>
          <cell r="T292">
            <v>37.200000000000003</v>
          </cell>
          <cell r="U292">
            <v>77.2</v>
          </cell>
          <cell r="BA292">
            <v>224.10000000000002</v>
          </cell>
          <cell r="BB292">
            <v>0</v>
          </cell>
          <cell r="BF292" t="str">
            <v>Ok</v>
          </cell>
        </row>
        <row r="293">
          <cell r="B293" t="str">
            <v>CHRONO CLOUD</v>
          </cell>
          <cell r="R293">
            <v>0.4</v>
          </cell>
          <cell r="S293">
            <v>95</v>
          </cell>
          <cell r="T293">
            <v>38.1</v>
          </cell>
          <cell r="U293">
            <v>116</v>
          </cell>
          <cell r="BA293">
            <v>249.1</v>
          </cell>
          <cell r="BB293">
            <v>0</v>
          </cell>
          <cell r="BF293" t="str">
            <v>Ok</v>
          </cell>
        </row>
        <row r="294">
          <cell r="B294" t="str">
            <v>CHRONO CLOUD-K</v>
          </cell>
          <cell r="R294">
            <v>0</v>
          </cell>
          <cell r="S294">
            <v>0</v>
          </cell>
          <cell r="T294">
            <v>12.19</v>
          </cell>
          <cell r="U294">
            <v>0</v>
          </cell>
          <cell r="BA294">
            <v>12.19</v>
          </cell>
          <cell r="BB294">
            <v>0</v>
          </cell>
          <cell r="BF294" t="str">
            <v>Ok</v>
          </cell>
        </row>
        <row r="295">
          <cell r="B295" t="str">
            <v>CHRONO GOLD</v>
          </cell>
          <cell r="R295">
            <v>4.0749999999999993</v>
          </cell>
          <cell r="S295">
            <v>465.5</v>
          </cell>
          <cell r="T295">
            <v>9.6</v>
          </cell>
          <cell r="U295">
            <v>0</v>
          </cell>
          <cell r="BA295">
            <v>475.1</v>
          </cell>
          <cell r="BB295">
            <v>0</v>
          </cell>
          <cell r="BF295" t="str">
            <v>Ok</v>
          </cell>
        </row>
        <row r="296">
          <cell r="B296" t="str">
            <v>CHRONO GRANITE</v>
          </cell>
          <cell r="R296">
            <v>9.75</v>
          </cell>
          <cell r="S296">
            <v>436.6</v>
          </cell>
          <cell r="T296">
            <v>5.4</v>
          </cell>
          <cell r="U296">
            <v>34.799999999999997</v>
          </cell>
          <cell r="BA296">
            <v>476.8</v>
          </cell>
          <cell r="BB296">
            <v>0</v>
          </cell>
          <cell r="BF296" t="str">
            <v>Ok</v>
          </cell>
        </row>
        <row r="297">
          <cell r="B297" t="str">
            <v>CHRONO GRANITE-K</v>
          </cell>
          <cell r="R297">
            <v>0.75</v>
          </cell>
          <cell r="S297">
            <v>898.4</v>
          </cell>
          <cell r="T297">
            <v>11.7</v>
          </cell>
          <cell r="U297">
            <v>0</v>
          </cell>
          <cell r="BA297">
            <v>910.1</v>
          </cell>
          <cell r="BB297">
            <v>0</v>
          </cell>
          <cell r="BF297" t="str">
            <v>Ok</v>
          </cell>
        </row>
        <row r="298">
          <cell r="B298" t="str">
            <v>CHRONO GRAPE</v>
          </cell>
          <cell r="R298">
            <v>0.5</v>
          </cell>
          <cell r="S298">
            <v>258.2</v>
          </cell>
          <cell r="T298">
            <v>8.85</v>
          </cell>
          <cell r="U298">
            <v>116</v>
          </cell>
          <cell r="BA298">
            <v>383.05</v>
          </cell>
          <cell r="BB298">
            <v>0</v>
          </cell>
          <cell r="BF298" t="str">
            <v>Ok</v>
          </cell>
        </row>
        <row r="299">
          <cell r="B299" t="str">
            <v>CHRONO HYDRO</v>
          </cell>
          <cell r="R299">
            <v>0</v>
          </cell>
          <cell r="S299">
            <v>25.1</v>
          </cell>
          <cell r="T299">
            <v>13.45</v>
          </cell>
          <cell r="U299">
            <v>35</v>
          </cell>
          <cell r="BA299">
            <v>73.55</v>
          </cell>
          <cell r="BB299">
            <v>0</v>
          </cell>
          <cell r="BF299" t="str">
            <v>Ok</v>
          </cell>
        </row>
        <row r="300">
          <cell r="B300" t="str">
            <v>CHRONO MINT</v>
          </cell>
          <cell r="R300">
            <v>0</v>
          </cell>
          <cell r="S300">
            <v>119.28</v>
          </cell>
          <cell r="T300">
            <v>0</v>
          </cell>
          <cell r="U300">
            <v>0</v>
          </cell>
          <cell r="BA300">
            <v>119.28</v>
          </cell>
          <cell r="BB300">
            <v>0</v>
          </cell>
          <cell r="BF300" t="str">
            <v>Ok</v>
          </cell>
        </row>
        <row r="301">
          <cell r="B301" t="str">
            <v>CHRONO MINT-K</v>
          </cell>
          <cell r="R301">
            <v>32.125</v>
          </cell>
          <cell r="S301">
            <v>54.1</v>
          </cell>
          <cell r="T301">
            <v>7.7</v>
          </cell>
          <cell r="U301">
            <v>0</v>
          </cell>
          <cell r="BA301">
            <v>61.800000000000004</v>
          </cell>
          <cell r="BB301">
            <v>0</v>
          </cell>
          <cell r="BF301" t="str">
            <v>Resurtir</v>
          </cell>
        </row>
        <row r="302">
          <cell r="B302" t="str">
            <v>CHRONO MOONSTONE</v>
          </cell>
          <cell r="R302">
            <v>0</v>
          </cell>
          <cell r="S302">
            <v>0</v>
          </cell>
          <cell r="T302">
            <v>0</v>
          </cell>
          <cell r="U302">
            <v>62</v>
          </cell>
          <cell r="BA302">
            <v>62</v>
          </cell>
          <cell r="BB302">
            <v>0</v>
          </cell>
          <cell r="BF302" t="str">
            <v>Ok</v>
          </cell>
        </row>
        <row r="303">
          <cell r="B303" t="str">
            <v>CHRONO MOONSTONE-K</v>
          </cell>
          <cell r="R303">
            <v>1.5</v>
          </cell>
          <cell r="S303">
            <v>464.4</v>
          </cell>
          <cell r="T303">
            <v>8.9</v>
          </cell>
          <cell r="U303">
            <v>0</v>
          </cell>
          <cell r="BA303">
            <v>473.29999999999995</v>
          </cell>
          <cell r="BB303">
            <v>0</v>
          </cell>
          <cell r="BF303" t="str">
            <v>Ok</v>
          </cell>
        </row>
        <row r="304">
          <cell r="B304" t="str">
            <v>CHRONO RED</v>
          </cell>
          <cell r="R304">
            <v>0</v>
          </cell>
          <cell r="S304">
            <v>41.65</v>
          </cell>
          <cell r="T304">
            <v>0</v>
          </cell>
          <cell r="U304">
            <v>0</v>
          </cell>
          <cell r="BA304">
            <v>41.65</v>
          </cell>
          <cell r="BB304">
            <v>0</v>
          </cell>
          <cell r="BF304" t="str">
            <v>Ok</v>
          </cell>
        </row>
        <row r="305">
          <cell r="B305" t="str">
            <v>CHRONO SAND</v>
          </cell>
          <cell r="R305">
            <v>15.75</v>
          </cell>
          <cell r="S305">
            <v>32</v>
          </cell>
          <cell r="T305">
            <v>0</v>
          </cell>
          <cell r="U305">
            <v>0</v>
          </cell>
          <cell r="BA305">
            <v>32</v>
          </cell>
          <cell r="BB305">
            <v>0</v>
          </cell>
          <cell r="BF305" t="str">
            <v>Resurtir</v>
          </cell>
        </row>
        <row r="306">
          <cell r="B306" t="str">
            <v>CHRONO SAND-K</v>
          </cell>
          <cell r="R306">
            <v>297.625</v>
          </cell>
          <cell r="S306">
            <v>2700</v>
          </cell>
          <cell r="T306">
            <v>29.2</v>
          </cell>
          <cell r="U306">
            <v>0</v>
          </cell>
          <cell r="BA306">
            <v>2729.2</v>
          </cell>
          <cell r="BB306">
            <v>900</v>
          </cell>
          <cell r="BF306" t="str">
            <v>Ok</v>
          </cell>
        </row>
        <row r="307">
          <cell r="B307" t="str">
            <v>CHRONO SEA GREEN</v>
          </cell>
          <cell r="R307">
            <v>11.125</v>
          </cell>
          <cell r="S307">
            <v>91.4</v>
          </cell>
          <cell r="T307">
            <v>0</v>
          </cell>
          <cell r="U307">
            <v>45</v>
          </cell>
          <cell r="BA307">
            <v>136.4</v>
          </cell>
          <cell r="BB307">
            <v>0</v>
          </cell>
          <cell r="BF307" t="str">
            <v>Ok</v>
          </cell>
        </row>
        <row r="308">
          <cell r="B308" t="str">
            <v>CHRONO SNOW</v>
          </cell>
          <cell r="R308">
            <v>3</v>
          </cell>
          <cell r="S308">
            <v>0</v>
          </cell>
          <cell r="T308">
            <v>7.1</v>
          </cell>
          <cell r="U308">
            <v>0</v>
          </cell>
          <cell r="BA308">
            <v>7.1</v>
          </cell>
          <cell r="BB308">
            <v>0</v>
          </cell>
          <cell r="BF308" t="str">
            <v>Resurtir</v>
          </cell>
        </row>
        <row r="309">
          <cell r="B309" t="str">
            <v>CHRONO SNOW K</v>
          </cell>
          <cell r="R309">
            <v>10.5</v>
          </cell>
          <cell r="S309">
            <v>642.1</v>
          </cell>
          <cell r="T309">
            <v>5.2</v>
          </cell>
          <cell r="U309">
            <v>0</v>
          </cell>
          <cell r="BA309">
            <v>647.30000000000007</v>
          </cell>
          <cell r="BB309">
            <v>100</v>
          </cell>
          <cell r="BF309" t="str">
            <v>Ok</v>
          </cell>
        </row>
        <row r="310">
          <cell r="B310" t="str">
            <v>CHRONO SPA</v>
          </cell>
          <cell r="R310">
            <v>27.725000000000001</v>
          </cell>
          <cell r="S310">
            <v>0</v>
          </cell>
          <cell r="T310">
            <v>23.8</v>
          </cell>
          <cell r="U310">
            <v>0</v>
          </cell>
          <cell r="BA310">
            <v>84.8</v>
          </cell>
          <cell r="BB310">
            <v>0</v>
          </cell>
          <cell r="BF310" t="str">
            <v>Resurtir</v>
          </cell>
        </row>
        <row r="311">
          <cell r="B311" t="str">
            <v>CHRONO TRUE BLUE</v>
          </cell>
          <cell r="R311">
            <v>22.975000000000001</v>
          </cell>
          <cell r="S311">
            <v>0</v>
          </cell>
          <cell r="T311">
            <v>17.2</v>
          </cell>
          <cell r="U311">
            <v>0</v>
          </cell>
          <cell r="BA311">
            <v>90.2</v>
          </cell>
          <cell r="BB311">
            <v>0</v>
          </cell>
          <cell r="BF311" t="str">
            <v>Resurtir</v>
          </cell>
        </row>
        <row r="312">
          <cell r="B312" t="str">
            <v>CHRONO WINE</v>
          </cell>
          <cell r="R312">
            <v>3.5</v>
          </cell>
          <cell r="S312">
            <v>42.7</v>
          </cell>
          <cell r="T312">
            <v>21.05</v>
          </cell>
          <cell r="U312">
            <v>0</v>
          </cell>
          <cell r="BA312">
            <v>63.75</v>
          </cell>
          <cell r="BB312">
            <v>0</v>
          </cell>
          <cell r="BF312" t="str">
            <v>Ok</v>
          </cell>
        </row>
        <row r="313">
          <cell r="B313" t="str">
            <v>CIGAR WINTER</v>
          </cell>
          <cell r="R313">
            <v>10.3125</v>
          </cell>
          <cell r="S313">
            <v>224.5</v>
          </cell>
          <cell r="T313">
            <v>13.7</v>
          </cell>
          <cell r="U313">
            <v>0</v>
          </cell>
          <cell r="BA313">
            <v>238.2</v>
          </cell>
          <cell r="BB313">
            <v>0</v>
          </cell>
          <cell r="BF313" t="str">
            <v>Ok</v>
          </cell>
        </row>
        <row r="314">
          <cell r="B314" t="str">
            <v>CLARA BITTER</v>
          </cell>
          <cell r="R314">
            <v>0</v>
          </cell>
          <cell r="S314">
            <v>53.85</v>
          </cell>
          <cell r="T314">
            <v>0</v>
          </cell>
          <cell r="U314">
            <v>0</v>
          </cell>
          <cell r="BA314">
            <v>53.85</v>
          </cell>
          <cell r="BB314">
            <v>0</v>
          </cell>
          <cell r="BF314" t="str">
            <v>Ok</v>
          </cell>
        </row>
        <row r="315">
          <cell r="B315" t="str">
            <v>CLARA ECRU</v>
          </cell>
          <cell r="R315">
            <v>0.8</v>
          </cell>
          <cell r="S315">
            <v>201.8</v>
          </cell>
          <cell r="T315">
            <v>6</v>
          </cell>
          <cell r="U315">
            <v>0</v>
          </cell>
          <cell r="BA315">
            <v>207.8</v>
          </cell>
          <cell r="BB315">
            <v>150</v>
          </cell>
          <cell r="BF315" t="str">
            <v>Ok</v>
          </cell>
        </row>
        <row r="316">
          <cell r="B316" t="str">
            <v>CLARA WHITE</v>
          </cell>
          <cell r="R316">
            <v>1.6</v>
          </cell>
          <cell r="S316">
            <v>490.1</v>
          </cell>
          <cell r="T316">
            <v>28.9</v>
          </cell>
          <cell r="U316">
            <v>0</v>
          </cell>
          <cell r="BA316">
            <v>519</v>
          </cell>
          <cell r="BB316">
            <v>0</v>
          </cell>
          <cell r="BF316" t="str">
            <v>Ok</v>
          </cell>
        </row>
        <row r="317">
          <cell r="B317" t="str">
            <v>COBRA BLUE COTTON</v>
          </cell>
          <cell r="R317">
            <v>4.6500000000000004</v>
          </cell>
          <cell r="S317">
            <v>21.85</v>
          </cell>
          <cell r="T317">
            <v>32.840000000000003</v>
          </cell>
          <cell r="U317">
            <v>0</v>
          </cell>
          <cell r="BA317">
            <v>54.690000000000005</v>
          </cell>
          <cell r="BB317">
            <v>0</v>
          </cell>
          <cell r="BF317" t="str">
            <v>Ok</v>
          </cell>
        </row>
        <row r="318">
          <cell r="B318" t="str">
            <v>COLLETE CREAM</v>
          </cell>
          <cell r="R318">
            <v>243.94</v>
          </cell>
          <cell r="S318">
            <v>1174.23</v>
          </cell>
          <cell r="T318">
            <v>103.79</v>
          </cell>
          <cell r="U318">
            <v>709.4</v>
          </cell>
          <cell r="BA318">
            <v>1987.42</v>
          </cell>
          <cell r="BB318">
            <v>900</v>
          </cell>
          <cell r="BF318" t="str">
            <v>Ok</v>
          </cell>
        </row>
        <row r="319">
          <cell r="B319" t="str">
            <v>COLLETE DUNE</v>
          </cell>
          <cell r="R319">
            <v>210.26249999999999</v>
          </cell>
          <cell r="S319">
            <v>373.66</v>
          </cell>
          <cell r="T319">
            <v>74.52</v>
          </cell>
          <cell r="U319">
            <v>299.91000000000003</v>
          </cell>
          <cell r="BA319">
            <v>1031.0900000000001</v>
          </cell>
          <cell r="BB319">
            <v>900</v>
          </cell>
          <cell r="BF319" t="str">
            <v>Ok</v>
          </cell>
        </row>
        <row r="320">
          <cell r="B320" t="str">
            <v>COLLETE FLAX</v>
          </cell>
          <cell r="R320">
            <v>80.52</v>
          </cell>
          <cell r="S320">
            <v>712.14</v>
          </cell>
          <cell r="T320">
            <v>24.64</v>
          </cell>
          <cell r="U320">
            <v>0</v>
          </cell>
          <cell r="BA320">
            <v>736.78</v>
          </cell>
          <cell r="BB320">
            <v>550</v>
          </cell>
          <cell r="BF320" t="str">
            <v>Ok</v>
          </cell>
        </row>
        <row r="321">
          <cell r="B321" t="str">
            <v>COLLETE LINEN</v>
          </cell>
          <cell r="R321">
            <v>131.54249999999999</v>
          </cell>
          <cell r="S321">
            <v>226.48</v>
          </cell>
          <cell r="T321">
            <v>15.68</v>
          </cell>
          <cell r="U321">
            <v>51.11</v>
          </cell>
          <cell r="BA321">
            <v>599.27</v>
          </cell>
          <cell r="BB321">
            <v>400</v>
          </cell>
          <cell r="BF321" t="str">
            <v>Ok</v>
          </cell>
        </row>
        <row r="322">
          <cell r="B322" t="str">
            <v>COLLETE WHITE</v>
          </cell>
          <cell r="R322">
            <v>100.63250000000001</v>
          </cell>
          <cell r="S322">
            <v>1011.01</v>
          </cell>
          <cell r="T322">
            <v>27.32</v>
          </cell>
          <cell r="U322">
            <v>251.75</v>
          </cell>
          <cell r="BA322">
            <v>1290.08</v>
          </cell>
          <cell r="BB322">
            <v>400</v>
          </cell>
          <cell r="BF322" t="str">
            <v>Ok</v>
          </cell>
        </row>
        <row r="323">
          <cell r="B323" t="str">
            <v>COPENHAGEN CHARCOAL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BA323">
            <v>0</v>
          </cell>
          <cell r="BB323">
            <v>0</v>
          </cell>
          <cell r="BF323" t="str">
            <v>Resurtir</v>
          </cell>
        </row>
        <row r="324">
          <cell r="B324" t="str">
            <v>COPENHAGEN CREAM</v>
          </cell>
          <cell r="R324">
            <v>15.25</v>
          </cell>
          <cell r="S324">
            <v>466.8</v>
          </cell>
          <cell r="T324">
            <v>-8.8000000000000007</v>
          </cell>
          <cell r="U324">
            <v>0</v>
          </cell>
          <cell r="BA324">
            <v>458</v>
          </cell>
          <cell r="BB324">
            <v>0</v>
          </cell>
          <cell r="BF324" t="str">
            <v>Ok</v>
          </cell>
        </row>
        <row r="325">
          <cell r="B325" t="str">
            <v>COPENHAGEN LATTE</v>
          </cell>
          <cell r="R325">
            <v>0</v>
          </cell>
          <cell r="S325">
            <v>0</v>
          </cell>
          <cell r="T325">
            <v>14.6</v>
          </cell>
          <cell r="U325">
            <v>0</v>
          </cell>
          <cell r="BA325">
            <v>14.6</v>
          </cell>
          <cell r="BB325">
            <v>0</v>
          </cell>
          <cell r="BF325" t="str">
            <v>Ok</v>
          </cell>
        </row>
        <row r="326">
          <cell r="B326" t="str">
            <v>COPENHAGEN LINEN</v>
          </cell>
          <cell r="R326">
            <v>16.625</v>
          </cell>
          <cell r="S326">
            <v>462.3</v>
          </cell>
          <cell r="T326">
            <v>19.8</v>
          </cell>
          <cell r="U326">
            <v>0</v>
          </cell>
          <cell r="BA326">
            <v>482.1</v>
          </cell>
          <cell r="BB326">
            <v>0</v>
          </cell>
          <cell r="BF326" t="str">
            <v>Ok</v>
          </cell>
        </row>
        <row r="327">
          <cell r="B327" t="str">
            <v>COPENHAGEN NATURAL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BA327">
            <v>0</v>
          </cell>
          <cell r="BB327">
            <v>0</v>
          </cell>
          <cell r="BF327" t="str">
            <v>Resurtir</v>
          </cell>
        </row>
        <row r="328">
          <cell r="B328" t="str">
            <v>COPENHAGEN PLUS CHARCOAL</v>
          </cell>
          <cell r="R328">
            <v>2.75</v>
          </cell>
          <cell r="S328">
            <v>1474.8</v>
          </cell>
          <cell r="T328">
            <v>28.1</v>
          </cell>
          <cell r="U328">
            <v>0</v>
          </cell>
          <cell r="BA328">
            <v>1502.8999999999999</v>
          </cell>
          <cell r="BB328">
            <v>0</v>
          </cell>
          <cell r="BF328" t="str">
            <v>Ok</v>
          </cell>
        </row>
        <row r="329">
          <cell r="B329" t="str">
            <v>COPENHAGEN PLUS CREAM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BA329">
            <v>0</v>
          </cell>
          <cell r="BB329">
            <v>0</v>
          </cell>
          <cell r="BF329" t="str">
            <v>Resurtir</v>
          </cell>
        </row>
        <row r="330">
          <cell r="B330" t="str">
            <v>COPENHAGEN PLUS LATTE</v>
          </cell>
          <cell r="R330">
            <v>0</v>
          </cell>
          <cell r="S330">
            <v>137.9</v>
          </cell>
          <cell r="T330">
            <v>34.4</v>
          </cell>
          <cell r="U330">
            <v>0</v>
          </cell>
          <cell r="BA330">
            <v>172.3</v>
          </cell>
          <cell r="BB330">
            <v>0</v>
          </cell>
          <cell r="BF330" t="str">
            <v>Ok</v>
          </cell>
        </row>
        <row r="331">
          <cell r="B331" t="str">
            <v>COPENHAGEN PLUS LINEN</v>
          </cell>
          <cell r="R331">
            <v>31.2</v>
          </cell>
          <cell r="S331">
            <v>340.7</v>
          </cell>
          <cell r="T331">
            <v>29</v>
          </cell>
          <cell r="U331">
            <v>0</v>
          </cell>
          <cell r="BA331">
            <v>369.7</v>
          </cell>
          <cell r="BB331">
            <v>90</v>
          </cell>
          <cell r="BF331" t="str">
            <v>Ok</v>
          </cell>
        </row>
        <row r="332">
          <cell r="B332" t="str">
            <v>COPENHAGEN PLUS NATURAL</v>
          </cell>
          <cell r="R332">
            <v>38.299999999999997</v>
          </cell>
          <cell r="S332">
            <v>0</v>
          </cell>
          <cell r="T332">
            <v>23.3</v>
          </cell>
          <cell r="U332">
            <v>552.9</v>
          </cell>
          <cell r="BA332">
            <v>576.19999999999993</v>
          </cell>
          <cell r="BB332">
            <v>0</v>
          </cell>
          <cell r="BF332" t="str">
            <v>Ok</v>
          </cell>
        </row>
        <row r="333">
          <cell r="B333" t="str">
            <v>COPENHAGEN PLUS SMOKE</v>
          </cell>
          <cell r="R333">
            <v>5.25</v>
          </cell>
          <cell r="S333">
            <v>450.4</v>
          </cell>
          <cell r="T333">
            <v>32.9</v>
          </cell>
          <cell r="U333">
            <v>0</v>
          </cell>
          <cell r="BA333">
            <v>483.29999999999995</v>
          </cell>
          <cell r="BB333">
            <v>0</v>
          </cell>
          <cell r="BF333" t="str">
            <v>Ok</v>
          </cell>
        </row>
        <row r="334">
          <cell r="B334" t="str">
            <v>COPENHAGEN PLUS SNOW</v>
          </cell>
          <cell r="R334">
            <v>9.5</v>
          </cell>
          <cell r="S334">
            <v>70.3</v>
          </cell>
          <cell r="T334">
            <v>14.8</v>
          </cell>
          <cell r="U334">
            <v>0</v>
          </cell>
          <cell r="BA334">
            <v>85.1</v>
          </cell>
          <cell r="BB334">
            <v>0</v>
          </cell>
          <cell r="BF334" t="str">
            <v>Ok</v>
          </cell>
        </row>
        <row r="335">
          <cell r="B335" t="str">
            <v>COPENHAGEN SMOKE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BA335">
            <v>0</v>
          </cell>
          <cell r="BB335">
            <v>0</v>
          </cell>
          <cell r="BF335" t="str">
            <v>Resurtir</v>
          </cell>
        </row>
        <row r="336">
          <cell r="B336" t="str">
            <v>COPENHAGEN SNOW</v>
          </cell>
          <cell r="R336">
            <v>0</v>
          </cell>
          <cell r="S336">
            <v>26.4</v>
          </cell>
          <cell r="T336">
            <v>0</v>
          </cell>
          <cell r="U336">
            <v>0</v>
          </cell>
          <cell r="BA336">
            <v>26.4</v>
          </cell>
          <cell r="BB336">
            <v>0</v>
          </cell>
          <cell r="BF336" t="str">
            <v>Ok</v>
          </cell>
        </row>
        <row r="337">
          <cell r="B337" t="str">
            <v>CORA CHAMPAGNE</v>
          </cell>
          <cell r="R337">
            <v>60.95</v>
          </cell>
          <cell r="S337">
            <v>280.2</v>
          </cell>
          <cell r="T337">
            <v>28.5</v>
          </cell>
          <cell r="U337">
            <v>0</v>
          </cell>
          <cell r="BA337">
            <v>308.7</v>
          </cell>
          <cell r="BB337">
            <v>50</v>
          </cell>
          <cell r="BF337" t="str">
            <v>Ok</v>
          </cell>
        </row>
        <row r="338">
          <cell r="B338" t="str">
            <v>CORA WHITE</v>
          </cell>
          <cell r="R338">
            <v>7</v>
          </cell>
          <cell r="S338">
            <v>225</v>
          </cell>
          <cell r="T338">
            <v>5.6</v>
          </cell>
          <cell r="U338">
            <v>0</v>
          </cell>
          <cell r="BA338">
            <v>230.6</v>
          </cell>
          <cell r="BB338">
            <v>0</v>
          </cell>
          <cell r="BF338" t="str">
            <v>Ok</v>
          </cell>
        </row>
        <row r="339">
          <cell r="B339" t="str">
            <v>CORBETT CORAL</v>
          </cell>
          <cell r="R339">
            <v>11.850000000000001</v>
          </cell>
          <cell r="S339">
            <v>-0.45</v>
          </cell>
          <cell r="T339">
            <v>54.1</v>
          </cell>
          <cell r="U339">
            <v>0</v>
          </cell>
          <cell r="BA339">
            <v>148.65</v>
          </cell>
          <cell r="BB339">
            <v>150</v>
          </cell>
          <cell r="BF339" t="str">
            <v>Resurtir</v>
          </cell>
        </row>
        <row r="340">
          <cell r="B340" t="str">
            <v>CORBETT DUNE</v>
          </cell>
          <cell r="R340">
            <v>54.075000000000003</v>
          </cell>
          <cell r="S340">
            <v>0</v>
          </cell>
          <cell r="T340">
            <v>10.9</v>
          </cell>
          <cell r="U340">
            <v>0</v>
          </cell>
          <cell r="BA340">
            <v>222.9</v>
          </cell>
          <cell r="BB340">
            <v>240</v>
          </cell>
          <cell r="BF340" t="str">
            <v>Resurtir</v>
          </cell>
        </row>
        <row r="341">
          <cell r="B341" t="str">
            <v>CORBETT FOSSIL</v>
          </cell>
          <cell r="R341">
            <v>49.274999999999999</v>
          </cell>
          <cell r="S341">
            <v>0</v>
          </cell>
          <cell r="T341">
            <v>0</v>
          </cell>
          <cell r="U341">
            <v>0</v>
          </cell>
          <cell r="BA341">
            <v>277</v>
          </cell>
          <cell r="BB341">
            <v>0</v>
          </cell>
          <cell r="BF341" t="str">
            <v>Ok</v>
          </cell>
        </row>
        <row r="342">
          <cell r="B342" t="str">
            <v>CORBETT IVORY</v>
          </cell>
          <cell r="R342">
            <v>43.125000000000007</v>
          </cell>
          <cell r="S342">
            <v>0</v>
          </cell>
          <cell r="T342">
            <v>19.75</v>
          </cell>
          <cell r="U342">
            <v>0</v>
          </cell>
          <cell r="BA342">
            <v>219.75</v>
          </cell>
          <cell r="BB342">
            <v>0</v>
          </cell>
          <cell r="BF342" t="str">
            <v>Ok</v>
          </cell>
        </row>
        <row r="343">
          <cell r="B343" t="str">
            <v>CORBETT LATTE</v>
          </cell>
          <cell r="R343">
            <v>16.625</v>
          </cell>
          <cell r="S343">
            <v>81.900000000000006</v>
          </cell>
          <cell r="T343">
            <v>41.2</v>
          </cell>
          <cell r="U343">
            <v>0</v>
          </cell>
          <cell r="BA343">
            <v>173.10000000000002</v>
          </cell>
          <cell r="BB343">
            <v>0</v>
          </cell>
          <cell r="BF343" t="str">
            <v>Ok</v>
          </cell>
        </row>
        <row r="344">
          <cell r="B344" t="str">
            <v>CORBETT LIGHT GREY</v>
          </cell>
          <cell r="R344">
            <v>6.25</v>
          </cell>
          <cell r="S344">
            <v>23.5</v>
          </cell>
          <cell r="T344">
            <v>31.7</v>
          </cell>
          <cell r="U344">
            <v>0</v>
          </cell>
          <cell r="BA344">
            <v>55.2</v>
          </cell>
          <cell r="BB344">
            <v>0</v>
          </cell>
          <cell r="BF344" t="str">
            <v>Ok</v>
          </cell>
        </row>
        <row r="345">
          <cell r="B345" t="str">
            <v>CORBETT MINERAL</v>
          </cell>
          <cell r="R345">
            <v>22.65</v>
          </cell>
          <cell r="S345">
            <v>0</v>
          </cell>
          <cell r="T345">
            <v>32.5</v>
          </cell>
          <cell r="U345">
            <v>0</v>
          </cell>
          <cell r="BA345">
            <v>145.5</v>
          </cell>
          <cell r="BB345">
            <v>100</v>
          </cell>
          <cell r="BF345" t="str">
            <v>Ok</v>
          </cell>
        </row>
        <row r="346">
          <cell r="B346" t="str">
            <v>CORBETT OAT</v>
          </cell>
          <cell r="R346">
            <v>4.375</v>
          </cell>
          <cell r="S346">
            <v>42</v>
          </cell>
          <cell r="T346">
            <v>37.1</v>
          </cell>
          <cell r="U346">
            <v>0</v>
          </cell>
          <cell r="BA346">
            <v>79.099999999999994</v>
          </cell>
          <cell r="BB346">
            <v>0</v>
          </cell>
          <cell r="BF346" t="str">
            <v>Ok</v>
          </cell>
        </row>
        <row r="347">
          <cell r="B347" t="str">
            <v>CORBETT SAGE</v>
          </cell>
          <cell r="R347">
            <v>34.049999999999997</v>
          </cell>
          <cell r="S347">
            <v>53.8</v>
          </cell>
          <cell r="T347">
            <v>17.8</v>
          </cell>
          <cell r="U347">
            <v>49.5</v>
          </cell>
          <cell r="BA347">
            <v>121.1</v>
          </cell>
          <cell r="BB347">
            <v>150</v>
          </cell>
          <cell r="BF347" t="str">
            <v>Resurtir</v>
          </cell>
        </row>
        <row r="348">
          <cell r="B348" t="str">
            <v>CORSICA AMBER</v>
          </cell>
          <cell r="R348">
            <v>7.875</v>
          </cell>
          <cell r="S348">
            <v>52.1</v>
          </cell>
          <cell r="T348">
            <v>16.7</v>
          </cell>
          <cell r="U348">
            <v>0</v>
          </cell>
          <cell r="BA348">
            <v>68.8</v>
          </cell>
          <cell r="BB348">
            <v>50</v>
          </cell>
          <cell r="BF348" t="str">
            <v>Ok</v>
          </cell>
        </row>
        <row r="349">
          <cell r="B349" t="str">
            <v>CORSICA BEIGE</v>
          </cell>
          <cell r="R349">
            <v>6</v>
          </cell>
          <cell r="S349">
            <v>53.8</v>
          </cell>
          <cell r="T349">
            <v>6.6</v>
          </cell>
          <cell r="U349">
            <v>0</v>
          </cell>
          <cell r="BA349">
            <v>111.4</v>
          </cell>
          <cell r="BB349">
            <v>0</v>
          </cell>
          <cell r="BF349" t="str">
            <v>Ok</v>
          </cell>
        </row>
        <row r="350">
          <cell r="B350" t="str">
            <v>CORSICA BLUE</v>
          </cell>
          <cell r="R350">
            <v>9.25</v>
          </cell>
          <cell r="S350">
            <v>122.2</v>
          </cell>
          <cell r="T350">
            <v>0</v>
          </cell>
          <cell r="U350">
            <v>0</v>
          </cell>
          <cell r="BA350">
            <v>122.2</v>
          </cell>
          <cell r="BB350">
            <v>0</v>
          </cell>
          <cell r="BF350" t="str">
            <v>Ok</v>
          </cell>
        </row>
        <row r="351">
          <cell r="B351" t="str">
            <v>CORSICA CHOCO</v>
          </cell>
          <cell r="R351">
            <v>0</v>
          </cell>
          <cell r="S351">
            <v>206.2</v>
          </cell>
          <cell r="T351">
            <v>0</v>
          </cell>
          <cell r="U351">
            <v>0</v>
          </cell>
          <cell r="BA351">
            <v>206.2</v>
          </cell>
          <cell r="BB351">
            <v>0</v>
          </cell>
          <cell r="BF351" t="str">
            <v>Ok</v>
          </cell>
        </row>
        <row r="352">
          <cell r="B352" t="str">
            <v>CORSICA COFFEE</v>
          </cell>
          <cell r="R352">
            <v>9.25</v>
          </cell>
          <cell r="S352">
            <v>24.2</v>
          </cell>
          <cell r="T352">
            <v>37.700000000000003</v>
          </cell>
          <cell r="U352">
            <v>0</v>
          </cell>
          <cell r="BA352">
            <v>61.900000000000006</v>
          </cell>
          <cell r="BB352">
            <v>0</v>
          </cell>
          <cell r="BF352" t="str">
            <v>Ok</v>
          </cell>
        </row>
        <row r="353">
          <cell r="B353" t="str">
            <v>CORSICA DOMINO</v>
          </cell>
          <cell r="R353">
            <v>0.5</v>
          </cell>
          <cell r="S353">
            <v>52</v>
          </cell>
          <cell r="T353">
            <v>27.65</v>
          </cell>
          <cell r="U353">
            <v>0</v>
          </cell>
          <cell r="BA353">
            <v>79.650000000000006</v>
          </cell>
          <cell r="BB353">
            <v>0</v>
          </cell>
          <cell r="BF353" t="str">
            <v>Ok</v>
          </cell>
        </row>
        <row r="354">
          <cell r="B354" t="str">
            <v>CORSICA GREY</v>
          </cell>
          <cell r="R354">
            <v>1.25</v>
          </cell>
          <cell r="S354">
            <v>67.2</v>
          </cell>
          <cell r="T354">
            <v>0</v>
          </cell>
          <cell r="U354">
            <v>50.3</v>
          </cell>
          <cell r="BA354">
            <v>117.5</v>
          </cell>
          <cell r="BB354">
            <v>0</v>
          </cell>
          <cell r="BF354" t="str">
            <v>Ok</v>
          </cell>
        </row>
        <row r="355">
          <cell r="B355" t="str">
            <v>CORSICA RED BRICK</v>
          </cell>
          <cell r="R355">
            <v>10.574999999999999</v>
          </cell>
          <cell r="S355">
            <v>47.5</v>
          </cell>
          <cell r="T355">
            <v>42.2</v>
          </cell>
          <cell r="U355">
            <v>0</v>
          </cell>
          <cell r="BA355">
            <v>89.7</v>
          </cell>
          <cell r="BB355">
            <v>0</v>
          </cell>
          <cell r="BF355" t="str">
            <v>Ok</v>
          </cell>
        </row>
        <row r="356">
          <cell r="B356" t="str">
            <v>CORSICA ROSE</v>
          </cell>
          <cell r="R356">
            <v>14.8</v>
          </cell>
          <cell r="S356">
            <v>51.4</v>
          </cell>
          <cell r="T356">
            <v>15.6</v>
          </cell>
          <cell r="U356">
            <v>0</v>
          </cell>
          <cell r="BA356">
            <v>118</v>
          </cell>
          <cell r="BB356">
            <v>30</v>
          </cell>
          <cell r="BF356" t="str">
            <v>Ok</v>
          </cell>
        </row>
        <row r="357">
          <cell r="B357" t="str">
            <v>CORSICA SPA</v>
          </cell>
          <cell r="R357">
            <v>2.5</v>
          </cell>
          <cell r="S357">
            <v>22.7</v>
          </cell>
          <cell r="T357">
            <v>0</v>
          </cell>
          <cell r="U357">
            <v>50.6</v>
          </cell>
          <cell r="BA357">
            <v>73.3</v>
          </cell>
          <cell r="BB357">
            <v>0</v>
          </cell>
          <cell r="BF357" t="str">
            <v>Ok</v>
          </cell>
        </row>
        <row r="358">
          <cell r="B358" t="str">
            <v>COSMO AMBER</v>
          </cell>
          <cell r="R358">
            <v>43.75</v>
          </cell>
          <cell r="S358">
            <v>181.5</v>
          </cell>
          <cell r="T358">
            <v>11.3</v>
          </cell>
          <cell r="U358">
            <v>0</v>
          </cell>
          <cell r="BA358">
            <v>192.8</v>
          </cell>
          <cell r="BB358">
            <v>180</v>
          </cell>
          <cell r="BF358" t="str">
            <v>Resurtir</v>
          </cell>
        </row>
        <row r="359">
          <cell r="B359" t="str">
            <v>COSMO AUTUMN</v>
          </cell>
          <cell r="R359">
            <v>119.99999999999999</v>
          </cell>
          <cell r="S359">
            <v>1249.5</v>
          </cell>
          <cell r="T359">
            <v>26.6</v>
          </cell>
          <cell r="U359">
            <v>1812.2</v>
          </cell>
          <cell r="BA359">
            <v>3088.3</v>
          </cell>
          <cell r="BB359">
            <v>1750</v>
          </cell>
          <cell r="BF359" t="str">
            <v>Ok</v>
          </cell>
        </row>
        <row r="360">
          <cell r="B360" t="str">
            <v>COSMO DUNE</v>
          </cell>
          <cell r="R360">
            <v>429.34999999999997</v>
          </cell>
          <cell r="S360">
            <v>834.9</v>
          </cell>
          <cell r="T360">
            <v>5.2</v>
          </cell>
          <cell r="U360">
            <v>0</v>
          </cell>
          <cell r="BA360">
            <v>1756.1</v>
          </cell>
          <cell r="BB360">
            <v>1900</v>
          </cell>
          <cell r="BF360" t="str">
            <v>Resurtir</v>
          </cell>
        </row>
        <row r="361">
          <cell r="B361" t="str">
            <v>COSMO ELEPHANT</v>
          </cell>
          <cell r="R361">
            <v>1422.8499999999997</v>
          </cell>
          <cell r="S361">
            <v>2391.3000000000002</v>
          </cell>
          <cell r="T361">
            <v>25.8</v>
          </cell>
          <cell r="U361">
            <v>0</v>
          </cell>
          <cell r="BA361">
            <v>7283.1</v>
          </cell>
          <cell r="BB361">
            <v>7000</v>
          </cell>
          <cell r="BF361" t="str">
            <v>Ok</v>
          </cell>
        </row>
        <row r="362">
          <cell r="B362" t="str">
            <v>COSMO GRIFFIN</v>
          </cell>
          <cell r="R362">
            <v>197.82499999999999</v>
          </cell>
          <cell r="S362">
            <v>363.6</v>
          </cell>
          <cell r="T362">
            <v>18.55</v>
          </cell>
          <cell r="U362">
            <v>0</v>
          </cell>
          <cell r="BA362">
            <v>1284.1500000000001</v>
          </cell>
          <cell r="BB362">
            <v>550</v>
          </cell>
          <cell r="BF362" t="str">
            <v>Ok</v>
          </cell>
        </row>
        <row r="363">
          <cell r="B363" t="str">
            <v>COSMO MARBLE</v>
          </cell>
          <cell r="R363">
            <v>265.625</v>
          </cell>
          <cell r="S363">
            <v>1048.3</v>
          </cell>
          <cell r="T363">
            <v>75.3</v>
          </cell>
          <cell r="U363">
            <v>959.3</v>
          </cell>
          <cell r="BA363">
            <v>2082.8999999999996</v>
          </cell>
          <cell r="BB363">
            <v>2350</v>
          </cell>
          <cell r="BF363" t="str">
            <v>Resurtir</v>
          </cell>
        </row>
        <row r="364">
          <cell r="B364" t="str">
            <v>COSMO OTTER</v>
          </cell>
          <cell r="R364">
            <v>98.924999999999997</v>
          </cell>
          <cell r="S364">
            <v>1064.8</v>
          </cell>
          <cell r="T364">
            <v>34.200000000000003</v>
          </cell>
          <cell r="U364">
            <v>0</v>
          </cell>
          <cell r="BA364">
            <v>2023</v>
          </cell>
          <cell r="BB364">
            <v>950</v>
          </cell>
          <cell r="BF364" t="str">
            <v>Ok</v>
          </cell>
        </row>
        <row r="365">
          <cell r="B365" t="str">
            <v>COSMO SABBLE</v>
          </cell>
          <cell r="R365">
            <v>1098.7250000000001</v>
          </cell>
          <cell r="S365">
            <v>1278.7</v>
          </cell>
          <cell r="T365">
            <v>8.4</v>
          </cell>
          <cell r="U365">
            <v>0</v>
          </cell>
          <cell r="BA365">
            <v>5211.1000000000004</v>
          </cell>
          <cell r="BB365">
            <v>3000</v>
          </cell>
          <cell r="BF365" t="str">
            <v>Ok</v>
          </cell>
        </row>
        <row r="366">
          <cell r="B366" t="str">
            <v>COSMO SAND</v>
          </cell>
          <cell r="R366">
            <v>163.44999999999999</v>
          </cell>
          <cell r="S366">
            <v>1221.4000000000001</v>
          </cell>
          <cell r="T366">
            <v>44.9</v>
          </cell>
          <cell r="U366">
            <v>0</v>
          </cell>
          <cell r="BA366">
            <v>1266.3000000000002</v>
          </cell>
          <cell r="BB366">
            <v>1100</v>
          </cell>
          <cell r="BF366" t="str">
            <v>Ok</v>
          </cell>
        </row>
        <row r="367">
          <cell r="B367" t="str">
            <v>COSMO SCUBA</v>
          </cell>
          <cell r="R367">
            <v>41.05</v>
          </cell>
          <cell r="S367">
            <v>223.5</v>
          </cell>
          <cell r="T367">
            <v>0</v>
          </cell>
          <cell r="U367">
            <v>0</v>
          </cell>
          <cell r="BA367">
            <v>223.5</v>
          </cell>
          <cell r="BB367">
            <v>0</v>
          </cell>
          <cell r="BF367" t="str">
            <v>Ok</v>
          </cell>
        </row>
        <row r="368">
          <cell r="B368" t="str">
            <v>COSMO TAUPE</v>
          </cell>
          <cell r="R368">
            <v>16.875</v>
          </cell>
          <cell r="S368">
            <v>284</v>
          </cell>
          <cell r="T368">
            <v>29.5</v>
          </cell>
          <cell r="U368">
            <v>881.1</v>
          </cell>
          <cell r="BA368">
            <v>1194.5999999999999</v>
          </cell>
          <cell r="BB368">
            <v>0</v>
          </cell>
          <cell r="BF368" t="str">
            <v>Ok</v>
          </cell>
        </row>
        <row r="369">
          <cell r="B369" t="str">
            <v>COSSE BONE</v>
          </cell>
          <cell r="R369">
            <v>11.824999999999999</v>
          </cell>
          <cell r="S369">
            <v>301.3</v>
          </cell>
          <cell r="T369">
            <v>14.1</v>
          </cell>
          <cell r="U369">
            <v>0</v>
          </cell>
          <cell r="BA369">
            <v>315.40000000000003</v>
          </cell>
          <cell r="BB369">
            <v>0</v>
          </cell>
          <cell r="BF369" t="str">
            <v>Ok</v>
          </cell>
        </row>
        <row r="370">
          <cell r="B370" t="str">
            <v>COSSE NATURAL</v>
          </cell>
          <cell r="R370">
            <v>8.1750000000000007</v>
          </cell>
          <cell r="S370">
            <v>392.2</v>
          </cell>
          <cell r="T370">
            <v>0</v>
          </cell>
          <cell r="U370">
            <v>0</v>
          </cell>
          <cell r="BA370">
            <v>392.2</v>
          </cell>
          <cell r="BB370">
            <v>0</v>
          </cell>
          <cell r="BF370" t="str">
            <v>Ok</v>
          </cell>
        </row>
        <row r="371">
          <cell r="B371" t="str">
            <v>COSSE TOFFE</v>
          </cell>
          <cell r="R371">
            <v>15.25</v>
          </cell>
          <cell r="S371">
            <v>259.5</v>
          </cell>
          <cell r="T371">
            <v>18.920000000000002</v>
          </cell>
          <cell r="U371">
            <v>0</v>
          </cell>
          <cell r="BA371">
            <v>278.42</v>
          </cell>
          <cell r="BB371">
            <v>0</v>
          </cell>
          <cell r="BF371" t="str">
            <v>Ok</v>
          </cell>
        </row>
        <row r="372">
          <cell r="B372" t="str">
            <v>COUNTRY DENIM</v>
          </cell>
          <cell r="R372">
            <v>0.5</v>
          </cell>
          <cell r="S372">
            <v>99.76</v>
          </cell>
          <cell r="T372">
            <v>13.7</v>
          </cell>
          <cell r="U372">
            <v>0</v>
          </cell>
          <cell r="BA372">
            <v>163.46</v>
          </cell>
          <cell r="BB372">
            <v>0</v>
          </cell>
          <cell r="BF372" t="str">
            <v>Ok</v>
          </cell>
        </row>
        <row r="373">
          <cell r="B373" t="str">
            <v>COUNTRY SNOW</v>
          </cell>
          <cell r="R373">
            <v>0</v>
          </cell>
          <cell r="S373">
            <v>21.38</v>
          </cell>
          <cell r="T373">
            <v>15.43</v>
          </cell>
          <cell r="U373">
            <v>0</v>
          </cell>
          <cell r="BA373">
            <v>83.81</v>
          </cell>
          <cell r="BB373">
            <v>0</v>
          </cell>
          <cell r="BF373" t="str">
            <v>Ok</v>
          </cell>
        </row>
        <row r="374">
          <cell r="B374" t="str">
            <v>COZY BEIGE</v>
          </cell>
          <cell r="R374">
            <v>177.67500000000001</v>
          </cell>
          <cell r="S374">
            <v>836.9</v>
          </cell>
          <cell r="T374">
            <v>60.2</v>
          </cell>
          <cell r="U374">
            <v>140.69999999999999</v>
          </cell>
          <cell r="BA374">
            <v>1037.8</v>
          </cell>
          <cell r="BB374">
            <v>450</v>
          </cell>
          <cell r="BF374" t="str">
            <v>Ok</v>
          </cell>
        </row>
        <row r="375">
          <cell r="B375" t="str">
            <v>COZY COPPER</v>
          </cell>
          <cell r="R375">
            <v>72.027500000000003</v>
          </cell>
          <cell r="S375">
            <v>244.79</v>
          </cell>
          <cell r="T375">
            <v>7.75</v>
          </cell>
          <cell r="U375">
            <v>1210.8</v>
          </cell>
          <cell r="BA375">
            <v>1463.34</v>
          </cell>
          <cell r="BB375">
            <v>330</v>
          </cell>
          <cell r="BF375" t="str">
            <v>Ok</v>
          </cell>
        </row>
        <row r="376">
          <cell r="B376" t="str">
            <v>COZY COTTON</v>
          </cell>
          <cell r="R376">
            <v>127.15</v>
          </cell>
          <cell r="S376">
            <v>555.29999999999995</v>
          </cell>
          <cell r="T376">
            <v>6.1</v>
          </cell>
          <cell r="U376">
            <v>1152.9000000000001</v>
          </cell>
          <cell r="BA376">
            <v>1714.3000000000002</v>
          </cell>
          <cell r="BB376">
            <v>250</v>
          </cell>
          <cell r="BF376" t="str">
            <v>Ok</v>
          </cell>
        </row>
        <row r="377">
          <cell r="B377" t="str">
            <v>COZY GREY</v>
          </cell>
          <cell r="R377">
            <v>137.92500000000001</v>
          </cell>
          <cell r="S377">
            <v>465.5</v>
          </cell>
          <cell r="T377">
            <v>27.1</v>
          </cell>
          <cell r="U377">
            <v>0</v>
          </cell>
          <cell r="BA377">
            <v>492.6</v>
          </cell>
          <cell r="BB377">
            <v>700</v>
          </cell>
          <cell r="BF377" t="str">
            <v>Resurtir</v>
          </cell>
        </row>
        <row r="378">
          <cell r="B378" t="str">
            <v>COZY PARCHMENT</v>
          </cell>
          <cell r="R378">
            <v>265.64999999999998</v>
          </cell>
          <cell r="S378">
            <v>1008.9</v>
          </cell>
          <cell r="T378">
            <v>39.700000000000003</v>
          </cell>
          <cell r="U378">
            <v>46.6</v>
          </cell>
          <cell r="BA378">
            <v>1095.1999999999998</v>
          </cell>
          <cell r="BB378">
            <v>730</v>
          </cell>
          <cell r="BF378" t="str">
            <v>Resurtir</v>
          </cell>
        </row>
        <row r="379">
          <cell r="B379" t="str">
            <v>COZY WOOD</v>
          </cell>
          <cell r="R379">
            <v>96.350000000000009</v>
          </cell>
          <cell r="S379">
            <v>276.2</v>
          </cell>
          <cell r="T379">
            <v>30.2</v>
          </cell>
          <cell r="U379">
            <v>3433</v>
          </cell>
          <cell r="BA379">
            <v>3739.4</v>
          </cell>
          <cell r="BB379">
            <v>670</v>
          </cell>
          <cell r="BF379" t="str">
            <v>Ok</v>
          </cell>
        </row>
        <row r="380">
          <cell r="B380" t="str">
            <v>CULLEN ONYX</v>
          </cell>
          <cell r="R380">
            <v>1.0375000000000001</v>
          </cell>
          <cell r="S380">
            <v>48.71</v>
          </cell>
          <cell r="T380">
            <v>0</v>
          </cell>
          <cell r="U380">
            <v>50.57</v>
          </cell>
          <cell r="BA380">
            <v>99.28</v>
          </cell>
          <cell r="BB380">
            <v>0</v>
          </cell>
          <cell r="BF380" t="str">
            <v>Ok</v>
          </cell>
        </row>
        <row r="381">
          <cell r="B381" t="str">
            <v>CULLEN SNOWBLUE</v>
          </cell>
          <cell r="R381">
            <v>0.27500000000000002</v>
          </cell>
          <cell r="S381">
            <v>111.45</v>
          </cell>
          <cell r="T381">
            <v>0</v>
          </cell>
          <cell r="U381">
            <v>0</v>
          </cell>
          <cell r="BA381">
            <v>111.45</v>
          </cell>
          <cell r="BB381">
            <v>0</v>
          </cell>
          <cell r="BF381" t="str">
            <v>Ok</v>
          </cell>
        </row>
        <row r="382">
          <cell r="B382" t="str">
            <v>CURLY CAMEL</v>
          </cell>
          <cell r="R382">
            <v>5.65</v>
          </cell>
          <cell r="S382">
            <v>23.41</v>
          </cell>
          <cell r="T382">
            <v>37.200000000000003</v>
          </cell>
          <cell r="U382">
            <v>0</v>
          </cell>
          <cell r="BA382">
            <v>296.61</v>
          </cell>
          <cell r="BB382">
            <v>0</v>
          </cell>
          <cell r="BF382" t="str">
            <v>Ok</v>
          </cell>
        </row>
        <row r="383">
          <cell r="B383" t="str">
            <v>CURLY COTTON</v>
          </cell>
          <cell r="R383">
            <v>22.25</v>
          </cell>
          <cell r="S383">
            <v>122.44</v>
          </cell>
          <cell r="T383">
            <v>5.43</v>
          </cell>
          <cell r="U383">
            <v>877.97</v>
          </cell>
          <cell r="BA383">
            <v>1005.84</v>
          </cell>
          <cell r="BB383">
            <v>50</v>
          </cell>
          <cell r="BF383" t="str">
            <v>Ok</v>
          </cell>
        </row>
        <row r="384">
          <cell r="B384" t="str">
            <v>CURLY NATURAL</v>
          </cell>
          <cell r="R384">
            <v>47.107500000000002</v>
          </cell>
          <cell r="S384">
            <v>129.19999999999999</v>
          </cell>
          <cell r="T384">
            <v>36.46</v>
          </cell>
          <cell r="U384">
            <v>0</v>
          </cell>
          <cell r="BA384">
            <v>265.65999999999997</v>
          </cell>
          <cell r="BB384">
            <v>250</v>
          </cell>
          <cell r="BF384" t="str">
            <v>Ok</v>
          </cell>
        </row>
        <row r="385">
          <cell r="B385" t="str">
            <v>CURLY PEARL</v>
          </cell>
          <cell r="R385">
            <v>32.482500000000002</v>
          </cell>
          <cell r="S385">
            <v>25.07</v>
          </cell>
          <cell r="T385">
            <v>36.71</v>
          </cell>
          <cell r="U385">
            <v>0</v>
          </cell>
          <cell r="BA385">
            <v>212.78</v>
          </cell>
          <cell r="BB385">
            <v>0</v>
          </cell>
          <cell r="BF385" t="str">
            <v>Ok</v>
          </cell>
        </row>
        <row r="386">
          <cell r="B386" t="str">
            <v>DASH BONE</v>
          </cell>
          <cell r="R386">
            <v>148.55000000000001</v>
          </cell>
          <cell r="S386">
            <v>460.6</v>
          </cell>
          <cell r="T386">
            <v>12.8</v>
          </cell>
          <cell r="U386">
            <v>0</v>
          </cell>
          <cell r="BA386">
            <v>473.40000000000003</v>
          </cell>
          <cell r="BB386">
            <v>300</v>
          </cell>
          <cell r="BF386" t="str">
            <v>Resurtir</v>
          </cell>
        </row>
        <row r="387">
          <cell r="B387" t="str">
            <v>DASH MARBLE</v>
          </cell>
          <cell r="R387">
            <v>12.275</v>
          </cell>
          <cell r="S387">
            <v>539</v>
          </cell>
          <cell r="T387">
            <v>16.399999999999999</v>
          </cell>
          <cell r="U387">
            <v>0</v>
          </cell>
          <cell r="BA387">
            <v>555.4</v>
          </cell>
          <cell r="BB387">
            <v>0</v>
          </cell>
          <cell r="BF387" t="str">
            <v>Ok</v>
          </cell>
        </row>
        <row r="388">
          <cell r="B388" t="str">
            <v>DASH PARCHMENT</v>
          </cell>
          <cell r="R388">
            <v>137.32499999999999</v>
          </cell>
          <cell r="S388">
            <v>1240.0999999999999</v>
          </cell>
          <cell r="T388">
            <v>0</v>
          </cell>
          <cell r="U388">
            <v>0</v>
          </cell>
          <cell r="BA388">
            <v>1240.0999999999999</v>
          </cell>
          <cell r="BB388">
            <v>550</v>
          </cell>
          <cell r="BF388" t="str">
            <v>Ok</v>
          </cell>
        </row>
        <row r="389">
          <cell r="B389" t="str">
            <v>DASH TREASURE</v>
          </cell>
          <cell r="R389">
            <v>14.1</v>
          </cell>
          <cell r="S389">
            <v>423.2</v>
          </cell>
          <cell r="T389">
            <v>29.2</v>
          </cell>
          <cell r="U389">
            <v>47.2</v>
          </cell>
          <cell r="BA389">
            <v>499.59999999999997</v>
          </cell>
          <cell r="BB389">
            <v>0</v>
          </cell>
          <cell r="BF389" t="str">
            <v>Ok</v>
          </cell>
        </row>
        <row r="390">
          <cell r="B390" t="str">
            <v>DASH TWINE</v>
          </cell>
          <cell r="R390">
            <v>51.15</v>
          </cell>
          <cell r="S390">
            <v>30</v>
          </cell>
          <cell r="T390">
            <v>0</v>
          </cell>
          <cell r="U390">
            <v>0</v>
          </cell>
          <cell r="BA390">
            <v>663</v>
          </cell>
          <cell r="BB390">
            <v>0</v>
          </cell>
          <cell r="BF390" t="str">
            <v>Ok</v>
          </cell>
        </row>
        <row r="391">
          <cell r="B391" t="str">
            <v>DAZZLE CREAM</v>
          </cell>
          <cell r="R391">
            <v>576.40750000000014</v>
          </cell>
          <cell r="S391">
            <v>2315.4</v>
          </cell>
          <cell r="T391">
            <v>72.319999999999993</v>
          </cell>
          <cell r="U391">
            <v>0</v>
          </cell>
          <cell r="BA391">
            <v>4659.72</v>
          </cell>
          <cell r="BB391">
            <v>2600</v>
          </cell>
          <cell r="BF391" t="str">
            <v>Ok</v>
          </cell>
        </row>
        <row r="392">
          <cell r="B392" t="str">
            <v>DAZZLE EBONY</v>
          </cell>
          <cell r="R392">
            <v>257.64999999999998</v>
          </cell>
          <cell r="S392">
            <v>148.6</v>
          </cell>
          <cell r="T392">
            <v>45.9</v>
          </cell>
          <cell r="U392">
            <v>0</v>
          </cell>
          <cell r="BA392">
            <v>1660.5</v>
          </cell>
          <cell r="BB392">
            <v>1250</v>
          </cell>
          <cell r="BF392" t="str">
            <v>Ok</v>
          </cell>
        </row>
        <row r="393">
          <cell r="B393" t="str">
            <v>DAZZLE LATTE</v>
          </cell>
          <cell r="R393">
            <v>1136.175</v>
          </cell>
          <cell r="S393">
            <v>3675.9</v>
          </cell>
          <cell r="T393">
            <v>49.9</v>
          </cell>
          <cell r="U393">
            <v>0</v>
          </cell>
          <cell r="BA393">
            <v>6125.8</v>
          </cell>
          <cell r="BB393">
            <v>3400</v>
          </cell>
          <cell r="BF393" t="str">
            <v>Ok</v>
          </cell>
        </row>
        <row r="394">
          <cell r="B394" t="str">
            <v>DAZZLE NATURE</v>
          </cell>
          <cell r="R394">
            <v>201.35</v>
          </cell>
          <cell r="S394">
            <v>1366.1</v>
          </cell>
          <cell r="T394">
            <v>46.4</v>
          </cell>
          <cell r="U394">
            <v>4122.6000000000004</v>
          </cell>
          <cell r="BA394">
            <v>5535.1</v>
          </cell>
          <cell r="BB394">
            <v>2150</v>
          </cell>
          <cell r="BF394" t="str">
            <v>Ok</v>
          </cell>
        </row>
        <row r="395">
          <cell r="B395" t="str">
            <v>DELUXE BEIGE</v>
          </cell>
          <cell r="R395">
            <v>17.25</v>
          </cell>
          <cell r="S395">
            <v>272.3</v>
          </cell>
          <cell r="T395">
            <v>22.8</v>
          </cell>
          <cell r="U395">
            <v>587.70000000000005</v>
          </cell>
          <cell r="BA395">
            <v>882.80000000000007</v>
          </cell>
          <cell r="BB395">
            <v>100</v>
          </cell>
          <cell r="BF395" t="str">
            <v>Ok</v>
          </cell>
        </row>
        <row r="396">
          <cell r="B396" t="str">
            <v>DELUXE BLACK</v>
          </cell>
          <cell r="R396">
            <v>7.35</v>
          </cell>
          <cell r="S396">
            <v>880.1</v>
          </cell>
          <cell r="T396">
            <v>0</v>
          </cell>
          <cell r="U396">
            <v>0</v>
          </cell>
          <cell r="BA396">
            <v>880.1</v>
          </cell>
          <cell r="BB396">
            <v>0</v>
          </cell>
          <cell r="BF396" t="str">
            <v>Ok</v>
          </cell>
        </row>
        <row r="397">
          <cell r="B397" t="str">
            <v>DELUXE CHARCOAL</v>
          </cell>
          <cell r="R397">
            <v>8.25</v>
          </cell>
          <cell r="S397">
            <v>663.7</v>
          </cell>
          <cell r="T397">
            <v>39.799999999999997</v>
          </cell>
          <cell r="U397">
            <v>0</v>
          </cell>
          <cell r="BA397">
            <v>703.5</v>
          </cell>
          <cell r="BB397">
            <v>0</v>
          </cell>
          <cell r="BF397" t="str">
            <v>Ok</v>
          </cell>
        </row>
        <row r="398">
          <cell r="B398" t="str">
            <v>DELUXE GREY</v>
          </cell>
          <cell r="R398">
            <v>41.125</v>
          </cell>
          <cell r="S398">
            <v>326.39999999999998</v>
          </cell>
          <cell r="T398">
            <v>5.3</v>
          </cell>
          <cell r="U398">
            <v>1701.1</v>
          </cell>
          <cell r="BA398">
            <v>2032.8</v>
          </cell>
          <cell r="BB398">
            <v>2200</v>
          </cell>
          <cell r="BF398" t="str">
            <v>Resurtir</v>
          </cell>
        </row>
        <row r="399">
          <cell r="B399" t="str">
            <v>DELUXE IVORY</v>
          </cell>
          <cell r="R399">
            <v>29.75</v>
          </cell>
          <cell r="S399">
            <v>380.9</v>
          </cell>
          <cell r="T399">
            <v>27.03</v>
          </cell>
          <cell r="U399">
            <v>0</v>
          </cell>
          <cell r="BA399">
            <v>407.92999999999995</v>
          </cell>
          <cell r="BB399">
            <v>0</v>
          </cell>
          <cell r="BF399" t="str">
            <v>Ok</v>
          </cell>
        </row>
        <row r="400">
          <cell r="B400" t="str">
            <v>DELUXE MUSTARD</v>
          </cell>
          <cell r="R400">
            <v>3.6999999999999997</v>
          </cell>
          <cell r="S400">
            <v>569.75</v>
          </cell>
          <cell r="T400">
            <v>0</v>
          </cell>
          <cell r="U400">
            <v>0</v>
          </cell>
          <cell r="BA400">
            <v>569.75</v>
          </cell>
          <cell r="BB400">
            <v>0</v>
          </cell>
          <cell r="BF400" t="str">
            <v>Ok</v>
          </cell>
        </row>
        <row r="401">
          <cell r="B401" t="str">
            <v>DELUXE NAVY</v>
          </cell>
          <cell r="R401">
            <v>0</v>
          </cell>
          <cell r="S401">
            <v>1089.3</v>
          </cell>
          <cell r="T401">
            <v>6.3</v>
          </cell>
          <cell r="U401">
            <v>0</v>
          </cell>
          <cell r="BA401">
            <v>1095.5999999999999</v>
          </cell>
          <cell r="BB401">
            <v>0</v>
          </cell>
          <cell r="BF401" t="str">
            <v>Ok</v>
          </cell>
        </row>
        <row r="402">
          <cell r="B402" t="str">
            <v>DELUXE SAND</v>
          </cell>
          <cell r="R402">
            <v>22</v>
          </cell>
          <cell r="S402">
            <v>822.7</v>
          </cell>
          <cell r="T402">
            <v>31.1</v>
          </cell>
          <cell r="U402">
            <v>681.6</v>
          </cell>
          <cell r="BA402">
            <v>1535.4</v>
          </cell>
          <cell r="BB402">
            <v>250</v>
          </cell>
          <cell r="BF402" t="str">
            <v>Ok</v>
          </cell>
        </row>
        <row r="403">
          <cell r="B403" t="str">
            <v>DELUXE STONE</v>
          </cell>
          <cell r="R403">
            <v>0.25</v>
          </cell>
          <cell r="S403">
            <v>1694.6</v>
          </cell>
          <cell r="T403">
            <v>0</v>
          </cell>
          <cell r="U403">
            <v>849.5</v>
          </cell>
          <cell r="BA403">
            <v>4144.1000000000004</v>
          </cell>
          <cell r="BB403">
            <v>0</v>
          </cell>
          <cell r="BF403" t="str">
            <v>Ok</v>
          </cell>
        </row>
        <row r="404">
          <cell r="B404" t="str">
            <v>DENVER NATURAL</v>
          </cell>
          <cell r="R404">
            <v>9.75</v>
          </cell>
          <cell r="S404">
            <v>251.7</v>
          </cell>
          <cell r="T404">
            <v>13.5</v>
          </cell>
          <cell r="U404">
            <v>0</v>
          </cell>
          <cell r="BA404">
            <v>265.2</v>
          </cell>
          <cell r="BB404">
            <v>0</v>
          </cell>
          <cell r="BF404" t="str">
            <v>Ok</v>
          </cell>
        </row>
        <row r="405">
          <cell r="B405" t="str">
            <v>DENVER PARCHMENT</v>
          </cell>
          <cell r="R405">
            <v>8.5</v>
          </cell>
          <cell r="S405">
            <v>81.400000000000006</v>
          </cell>
          <cell r="T405">
            <v>13.9</v>
          </cell>
          <cell r="U405">
            <v>0</v>
          </cell>
          <cell r="BA405">
            <v>95.300000000000011</v>
          </cell>
          <cell r="BB405">
            <v>30</v>
          </cell>
          <cell r="BF405" t="str">
            <v>Ok</v>
          </cell>
        </row>
        <row r="406">
          <cell r="B406" t="str">
            <v>DENVER SPA</v>
          </cell>
          <cell r="R406">
            <v>0.5</v>
          </cell>
          <cell r="S406">
            <v>85.2</v>
          </cell>
          <cell r="T406">
            <v>8</v>
          </cell>
          <cell r="U406">
            <v>0</v>
          </cell>
          <cell r="BA406">
            <v>93.2</v>
          </cell>
          <cell r="BB406">
            <v>0</v>
          </cell>
          <cell r="BF406" t="str">
            <v>Ok</v>
          </cell>
        </row>
        <row r="407">
          <cell r="B407" t="str">
            <v>DEWBERRY COTTON</v>
          </cell>
          <cell r="R407">
            <v>52.924999999999997</v>
          </cell>
          <cell r="S407">
            <v>319.2</v>
          </cell>
          <cell r="T407">
            <v>6.75</v>
          </cell>
          <cell r="U407">
            <v>0</v>
          </cell>
          <cell r="BA407">
            <v>1053.95</v>
          </cell>
          <cell r="BB407">
            <v>150</v>
          </cell>
          <cell r="BF407" t="str">
            <v>Ok</v>
          </cell>
        </row>
        <row r="408">
          <cell r="B408" t="str">
            <v>DEWBERRY EBONY</v>
          </cell>
          <cell r="R408">
            <v>8.125</v>
          </cell>
          <cell r="S408">
            <v>353.04</v>
          </cell>
          <cell r="T408">
            <v>0</v>
          </cell>
          <cell r="U408">
            <v>156.5</v>
          </cell>
          <cell r="BA408">
            <v>821.54</v>
          </cell>
          <cell r="BB408">
            <v>10</v>
          </cell>
          <cell r="BF408" t="str">
            <v>Ok</v>
          </cell>
        </row>
        <row r="409">
          <cell r="B409" t="str">
            <v>DEWBERRY PEARL</v>
          </cell>
          <cell r="R409">
            <v>50.35</v>
          </cell>
          <cell r="S409">
            <v>308.60000000000002</v>
          </cell>
          <cell r="T409">
            <v>18.8</v>
          </cell>
          <cell r="U409">
            <v>0</v>
          </cell>
          <cell r="BA409">
            <v>733.40000000000009</v>
          </cell>
          <cell r="BB409">
            <v>300</v>
          </cell>
          <cell r="BF409" t="str">
            <v>Ok</v>
          </cell>
        </row>
        <row r="410">
          <cell r="B410" t="str">
            <v>DEWBERRY PHANTOM</v>
          </cell>
          <cell r="R410">
            <v>16.175000000000001</v>
          </cell>
          <cell r="S410">
            <v>421.8</v>
          </cell>
          <cell r="T410">
            <v>0</v>
          </cell>
          <cell r="U410">
            <v>43.2</v>
          </cell>
          <cell r="BA410">
            <v>775</v>
          </cell>
          <cell r="BB410">
            <v>0</v>
          </cell>
          <cell r="BF410" t="str">
            <v>Ok</v>
          </cell>
        </row>
        <row r="411">
          <cell r="B411" t="str">
            <v>DIANA ECRU</v>
          </cell>
          <cell r="R411">
            <v>0.9</v>
          </cell>
          <cell r="S411">
            <v>96.9</v>
          </cell>
          <cell r="T411">
            <v>8.6</v>
          </cell>
          <cell r="U411">
            <v>79</v>
          </cell>
          <cell r="BA411">
            <v>184.5</v>
          </cell>
          <cell r="BB411">
            <v>200</v>
          </cell>
          <cell r="BF411" t="str">
            <v>Resurtir</v>
          </cell>
        </row>
        <row r="412">
          <cell r="B412" t="str">
            <v>DIANA IVORY</v>
          </cell>
          <cell r="R412">
            <v>11.5</v>
          </cell>
          <cell r="S412">
            <v>116</v>
          </cell>
          <cell r="T412">
            <v>38.1</v>
          </cell>
          <cell r="U412">
            <v>0</v>
          </cell>
          <cell r="BA412">
            <v>619.1</v>
          </cell>
          <cell r="BB412">
            <v>0</v>
          </cell>
          <cell r="BF412" t="str">
            <v>Ok</v>
          </cell>
        </row>
        <row r="413">
          <cell r="B413" t="str">
            <v>DISTRACTION DOMINO</v>
          </cell>
          <cell r="R413">
            <v>89.974999999999994</v>
          </cell>
          <cell r="S413">
            <v>48.55</v>
          </cell>
          <cell r="T413">
            <v>12.85</v>
          </cell>
          <cell r="U413">
            <v>0</v>
          </cell>
          <cell r="BA413">
            <v>568.4</v>
          </cell>
          <cell r="BB413">
            <v>400</v>
          </cell>
          <cell r="BF413" t="str">
            <v>Ok</v>
          </cell>
        </row>
        <row r="414">
          <cell r="B414" t="str">
            <v>DISTRACTION ECRU</v>
          </cell>
          <cell r="R414">
            <v>187.73499999999999</v>
          </cell>
          <cell r="S414">
            <v>1961.9</v>
          </cell>
          <cell r="T414">
            <v>34.67</v>
          </cell>
          <cell r="U414">
            <v>0</v>
          </cell>
          <cell r="BA414">
            <v>2975.57</v>
          </cell>
          <cell r="BB414">
            <v>1550</v>
          </cell>
          <cell r="BF414" t="str">
            <v>Ok</v>
          </cell>
        </row>
        <row r="415">
          <cell r="B415" t="str">
            <v>DISTRACTION MIDNIGHT</v>
          </cell>
          <cell r="R415">
            <v>18.024999999999999</v>
          </cell>
          <cell r="S415">
            <v>78.58</v>
          </cell>
          <cell r="T415">
            <v>17.55</v>
          </cell>
          <cell r="U415">
            <v>0</v>
          </cell>
          <cell r="BA415">
            <v>96.13</v>
          </cell>
          <cell r="BB415">
            <v>0</v>
          </cell>
          <cell r="BF415" t="str">
            <v>Ok</v>
          </cell>
        </row>
        <row r="416">
          <cell r="B416" t="str">
            <v>DISTRACTION MOCHA</v>
          </cell>
          <cell r="R416">
            <v>56.594999999999999</v>
          </cell>
          <cell r="S416">
            <v>100.95</v>
          </cell>
          <cell r="T416">
            <v>38.119999999999997</v>
          </cell>
          <cell r="U416">
            <v>0</v>
          </cell>
          <cell r="BA416">
            <v>412.07</v>
          </cell>
          <cell r="BB416">
            <v>50</v>
          </cell>
          <cell r="BF416" t="str">
            <v>Ok</v>
          </cell>
        </row>
        <row r="417">
          <cell r="B417" t="str">
            <v>DISTRACTION NATURAL</v>
          </cell>
          <cell r="R417">
            <v>511.5625</v>
          </cell>
          <cell r="S417">
            <v>82.36</v>
          </cell>
          <cell r="T417">
            <v>11.39</v>
          </cell>
          <cell r="U417">
            <v>0</v>
          </cell>
          <cell r="BA417">
            <v>2093.75</v>
          </cell>
          <cell r="BB417">
            <v>1050</v>
          </cell>
          <cell r="BF417" t="str">
            <v>Resurtir</v>
          </cell>
        </row>
        <row r="418">
          <cell r="B418" t="str">
            <v>DIVER MIST</v>
          </cell>
          <cell r="R418">
            <v>0</v>
          </cell>
          <cell r="S418">
            <v>94.9</v>
          </cell>
          <cell r="T418">
            <v>18.600000000000001</v>
          </cell>
          <cell r="U418">
            <v>0</v>
          </cell>
          <cell r="BA418">
            <v>113.5</v>
          </cell>
          <cell r="BB418">
            <v>0</v>
          </cell>
          <cell r="BF418" t="str">
            <v>Ok</v>
          </cell>
        </row>
        <row r="419">
          <cell r="B419" t="str">
            <v>DIVER PEARL</v>
          </cell>
          <cell r="R419">
            <v>1.05</v>
          </cell>
          <cell r="S419">
            <v>78.400000000000006</v>
          </cell>
          <cell r="T419">
            <v>0</v>
          </cell>
          <cell r="U419">
            <v>0</v>
          </cell>
          <cell r="BA419">
            <v>78.400000000000006</v>
          </cell>
          <cell r="BB419">
            <v>0</v>
          </cell>
          <cell r="BF419" t="str">
            <v>Ok</v>
          </cell>
        </row>
        <row r="420">
          <cell r="B420" t="str">
            <v>DIVER RAIN</v>
          </cell>
          <cell r="R420">
            <v>1.0249999999999999</v>
          </cell>
          <cell r="S420">
            <v>58.2</v>
          </cell>
          <cell r="T420">
            <v>20.100000000000001</v>
          </cell>
          <cell r="U420">
            <v>0</v>
          </cell>
          <cell r="BA420">
            <v>78.300000000000011</v>
          </cell>
          <cell r="BB420">
            <v>0</v>
          </cell>
          <cell r="BF420" t="str">
            <v>Ok</v>
          </cell>
        </row>
        <row r="421">
          <cell r="B421" t="str">
            <v>DOLCE CREAM</v>
          </cell>
          <cell r="R421">
            <v>91.800000000000011</v>
          </cell>
          <cell r="S421">
            <v>446</v>
          </cell>
          <cell r="T421">
            <v>128.4</v>
          </cell>
          <cell r="U421">
            <v>0</v>
          </cell>
          <cell r="BA421">
            <v>574.4</v>
          </cell>
          <cell r="BB421">
            <v>150</v>
          </cell>
          <cell r="BF421" t="str">
            <v>Ok</v>
          </cell>
        </row>
        <row r="422">
          <cell r="B422" t="str">
            <v>DOLCE FOSSIL</v>
          </cell>
          <cell r="R422">
            <v>51.224999999999994</v>
          </cell>
          <cell r="S422">
            <v>526.4</v>
          </cell>
          <cell r="T422">
            <v>52.9</v>
          </cell>
          <cell r="U422">
            <v>0</v>
          </cell>
          <cell r="BA422">
            <v>579.29999999999995</v>
          </cell>
          <cell r="BB422">
            <v>500</v>
          </cell>
          <cell r="BF422" t="str">
            <v>Ok</v>
          </cell>
        </row>
        <row r="423">
          <cell r="B423" t="str">
            <v>DOLCE SAND</v>
          </cell>
          <cell r="R423">
            <v>104.45</v>
          </cell>
          <cell r="S423">
            <v>278.8</v>
          </cell>
          <cell r="T423">
            <v>0</v>
          </cell>
          <cell r="U423">
            <v>0</v>
          </cell>
          <cell r="BA423">
            <v>478.8</v>
          </cell>
          <cell r="BB423">
            <v>200</v>
          </cell>
          <cell r="BF423" t="str">
            <v>Ok</v>
          </cell>
        </row>
        <row r="424">
          <cell r="B424" t="str">
            <v>DONATELLO LINEN</v>
          </cell>
          <cell r="R424">
            <v>48.8125</v>
          </cell>
          <cell r="S424">
            <v>230.6</v>
          </cell>
          <cell r="T424">
            <v>15.25</v>
          </cell>
          <cell r="U424">
            <v>0</v>
          </cell>
          <cell r="BA424">
            <v>245.85</v>
          </cell>
          <cell r="BB424">
            <v>150</v>
          </cell>
          <cell r="BF424" t="str">
            <v>Ok</v>
          </cell>
        </row>
        <row r="425">
          <cell r="B425" t="str">
            <v>DONATELLO TWINE</v>
          </cell>
          <cell r="R425">
            <v>3.5</v>
          </cell>
          <cell r="S425">
            <v>391.1</v>
          </cell>
          <cell r="T425">
            <v>0</v>
          </cell>
          <cell r="U425">
            <v>0</v>
          </cell>
          <cell r="BA425">
            <v>391.1</v>
          </cell>
          <cell r="BB425">
            <v>0</v>
          </cell>
          <cell r="BF425" t="str">
            <v>Ok</v>
          </cell>
        </row>
        <row r="426">
          <cell r="B426" t="str">
            <v>DONNA OAT</v>
          </cell>
          <cell r="R426">
            <v>1.75</v>
          </cell>
          <cell r="S426">
            <v>73.5</v>
          </cell>
          <cell r="T426">
            <v>0</v>
          </cell>
          <cell r="U426">
            <v>0</v>
          </cell>
          <cell r="BA426">
            <v>73.5</v>
          </cell>
          <cell r="BB426">
            <v>0</v>
          </cell>
          <cell r="BF426" t="str">
            <v>Ok</v>
          </cell>
        </row>
        <row r="427">
          <cell r="B427" t="str">
            <v>DREAMY BEIGE</v>
          </cell>
          <cell r="R427">
            <v>238.7</v>
          </cell>
          <cell r="S427">
            <v>839.92</v>
          </cell>
          <cell r="T427">
            <v>36.56</v>
          </cell>
          <cell r="U427">
            <v>0</v>
          </cell>
          <cell r="BA427">
            <v>1460.48</v>
          </cell>
          <cell r="BB427">
            <v>400</v>
          </cell>
          <cell r="BF427" t="str">
            <v>Ok</v>
          </cell>
        </row>
        <row r="428">
          <cell r="B428" t="str">
            <v>DREAMY DOMINO</v>
          </cell>
          <cell r="R428">
            <v>9.375</v>
          </cell>
          <cell r="S428">
            <v>211.49</v>
          </cell>
          <cell r="T428">
            <v>22.85</v>
          </cell>
          <cell r="U428">
            <v>0</v>
          </cell>
          <cell r="BA428">
            <v>234.34</v>
          </cell>
          <cell r="BB428">
            <v>0</v>
          </cell>
          <cell r="BF428" t="str">
            <v>Ok</v>
          </cell>
        </row>
        <row r="429">
          <cell r="B429" t="str">
            <v>DREAMY INDIGO</v>
          </cell>
          <cell r="R429">
            <v>11.324999999999999</v>
          </cell>
          <cell r="S429">
            <v>71.959999999999994</v>
          </cell>
          <cell r="T429">
            <v>2.09</v>
          </cell>
          <cell r="U429">
            <v>0</v>
          </cell>
          <cell r="BA429">
            <v>74.05</v>
          </cell>
          <cell r="BB429">
            <v>0</v>
          </cell>
          <cell r="BF429" t="str">
            <v>Ok</v>
          </cell>
        </row>
        <row r="430">
          <cell r="B430" t="str">
            <v>DREAMY SNOW</v>
          </cell>
          <cell r="R430">
            <v>32.342500000000001</v>
          </cell>
          <cell r="S430">
            <v>508.11</v>
          </cell>
          <cell r="T430">
            <v>47.3</v>
          </cell>
          <cell r="U430">
            <v>182.88</v>
          </cell>
          <cell r="BA430">
            <v>738.29</v>
          </cell>
          <cell r="BB430">
            <v>50</v>
          </cell>
          <cell r="BF430" t="str">
            <v>Ok</v>
          </cell>
        </row>
        <row r="431">
          <cell r="B431" t="str">
            <v>DRESSCODE FOREST</v>
          </cell>
          <cell r="R431">
            <v>51.45</v>
          </cell>
          <cell r="S431">
            <v>34.799999999999997</v>
          </cell>
          <cell r="T431">
            <v>45.5</v>
          </cell>
          <cell r="U431">
            <v>0</v>
          </cell>
          <cell r="BA431">
            <v>423.3</v>
          </cell>
          <cell r="BB431">
            <v>50</v>
          </cell>
          <cell r="BF431" t="str">
            <v>Ok</v>
          </cell>
        </row>
        <row r="432">
          <cell r="B432" t="str">
            <v>DRESSCODE MOONSTONE</v>
          </cell>
          <cell r="R432">
            <v>0.25</v>
          </cell>
          <cell r="S432">
            <v>338.1</v>
          </cell>
          <cell r="T432">
            <v>0</v>
          </cell>
          <cell r="U432">
            <v>768.7</v>
          </cell>
          <cell r="BA432">
            <v>1106.8000000000002</v>
          </cell>
          <cell r="BB432">
            <v>0</v>
          </cell>
          <cell r="BF432" t="str">
            <v>Ok</v>
          </cell>
        </row>
        <row r="433">
          <cell r="B433" t="str">
            <v>DRESSCODE PEPPER</v>
          </cell>
          <cell r="R433">
            <v>1</v>
          </cell>
          <cell r="S433">
            <v>367</v>
          </cell>
          <cell r="T433">
            <v>31.7</v>
          </cell>
          <cell r="U433">
            <v>0</v>
          </cell>
          <cell r="BA433">
            <v>398.7</v>
          </cell>
          <cell r="BB433">
            <v>0</v>
          </cell>
          <cell r="BF433" t="str">
            <v>Ok</v>
          </cell>
        </row>
        <row r="434">
          <cell r="B434" t="str">
            <v>DRILL BEIGE</v>
          </cell>
          <cell r="R434">
            <v>551.67499999999995</v>
          </cell>
          <cell r="S434">
            <v>1630.5</v>
          </cell>
          <cell r="T434">
            <v>38.799999999999997</v>
          </cell>
          <cell r="U434">
            <v>0</v>
          </cell>
          <cell r="BA434">
            <v>2969.3</v>
          </cell>
          <cell r="BB434">
            <v>1300</v>
          </cell>
          <cell r="BF434" t="str">
            <v>Ok</v>
          </cell>
        </row>
        <row r="435">
          <cell r="B435" t="str">
            <v>DRILL CHARCOAL</v>
          </cell>
          <cell r="R435">
            <v>74.5</v>
          </cell>
          <cell r="S435">
            <v>1187.2</v>
          </cell>
          <cell r="T435">
            <v>39.6</v>
          </cell>
          <cell r="U435">
            <v>0</v>
          </cell>
          <cell r="BA435">
            <v>1226.8</v>
          </cell>
          <cell r="BB435">
            <v>0</v>
          </cell>
          <cell r="BF435" t="str">
            <v>Ok</v>
          </cell>
        </row>
        <row r="436">
          <cell r="B436" t="str">
            <v>DRILL COFFEE</v>
          </cell>
          <cell r="R436">
            <v>26.6</v>
          </cell>
          <cell r="S436">
            <v>204</v>
          </cell>
          <cell r="T436">
            <v>21.8</v>
          </cell>
          <cell r="U436">
            <v>0</v>
          </cell>
          <cell r="BA436">
            <v>225.8</v>
          </cell>
          <cell r="BB436">
            <v>0</v>
          </cell>
          <cell r="BF436" t="str">
            <v>Ok</v>
          </cell>
        </row>
        <row r="437">
          <cell r="B437" t="str">
            <v>DRILL DARK GREY</v>
          </cell>
          <cell r="R437">
            <v>53.9</v>
          </cell>
          <cell r="S437">
            <v>693.6</v>
          </cell>
          <cell r="T437">
            <v>154.9</v>
          </cell>
          <cell r="U437">
            <v>0</v>
          </cell>
          <cell r="BA437">
            <v>848.5</v>
          </cell>
          <cell r="BB437">
            <v>0</v>
          </cell>
          <cell r="BF437" t="str">
            <v>Ok</v>
          </cell>
        </row>
        <row r="438">
          <cell r="B438" t="str">
            <v>DRILL GRANITE</v>
          </cell>
          <cell r="R438">
            <v>12.075000000000001</v>
          </cell>
          <cell r="S438">
            <v>884.7</v>
          </cell>
          <cell r="T438">
            <v>16.8</v>
          </cell>
          <cell r="U438">
            <v>1219.3</v>
          </cell>
          <cell r="BA438">
            <v>3320.8</v>
          </cell>
          <cell r="BB438">
            <v>0</v>
          </cell>
          <cell r="BF438" t="str">
            <v>Ok</v>
          </cell>
        </row>
        <row r="439">
          <cell r="B439" t="str">
            <v>DRILL LATTE</v>
          </cell>
          <cell r="R439">
            <v>119.22499999999999</v>
          </cell>
          <cell r="S439">
            <v>1017</v>
          </cell>
          <cell r="T439">
            <v>53.9</v>
          </cell>
          <cell r="U439">
            <v>0</v>
          </cell>
          <cell r="BA439">
            <v>1070.9000000000001</v>
          </cell>
          <cell r="BB439">
            <v>250</v>
          </cell>
          <cell r="BF439" t="str">
            <v>Ok</v>
          </cell>
        </row>
        <row r="440">
          <cell r="B440" t="str">
            <v>DRILL NATURAL</v>
          </cell>
          <cell r="R440">
            <v>47.05</v>
          </cell>
          <cell r="S440">
            <v>1056.5999999999999</v>
          </cell>
          <cell r="T440">
            <v>19.600000000000001</v>
          </cell>
          <cell r="U440">
            <v>0</v>
          </cell>
          <cell r="BA440">
            <v>1076.1999999999998</v>
          </cell>
          <cell r="BB440">
            <v>50</v>
          </cell>
          <cell r="BF440" t="str">
            <v>Ok</v>
          </cell>
        </row>
        <row r="441">
          <cell r="B441" t="str">
            <v>DRILL PEARL</v>
          </cell>
          <cell r="R441">
            <v>659.6875</v>
          </cell>
          <cell r="S441">
            <v>2001.7</v>
          </cell>
          <cell r="T441">
            <v>47.8</v>
          </cell>
          <cell r="U441">
            <v>0</v>
          </cell>
          <cell r="BA441">
            <v>3197.5</v>
          </cell>
          <cell r="BB441">
            <v>3250</v>
          </cell>
          <cell r="BF441" t="str">
            <v>Resurtir</v>
          </cell>
        </row>
        <row r="442">
          <cell r="B442" t="str">
            <v>DRILL PLATINUM</v>
          </cell>
          <cell r="R442">
            <v>11</v>
          </cell>
          <cell r="S442">
            <v>391.7</v>
          </cell>
          <cell r="T442">
            <v>46.3</v>
          </cell>
          <cell r="U442">
            <v>1377</v>
          </cell>
          <cell r="BA442">
            <v>1815</v>
          </cell>
          <cell r="BB442">
            <v>0</v>
          </cell>
          <cell r="BF442" t="str">
            <v>Ok</v>
          </cell>
        </row>
        <row r="443">
          <cell r="B443" t="str">
            <v>DRILL SLATE</v>
          </cell>
          <cell r="R443">
            <v>34.225000000000001</v>
          </cell>
          <cell r="S443">
            <v>625.5</v>
          </cell>
          <cell r="T443">
            <v>69.400000000000006</v>
          </cell>
          <cell r="U443">
            <v>0</v>
          </cell>
          <cell r="BA443">
            <v>694.9</v>
          </cell>
          <cell r="BB443">
            <v>0</v>
          </cell>
          <cell r="BF443" t="str">
            <v>Ok</v>
          </cell>
        </row>
        <row r="444">
          <cell r="B444" t="str">
            <v>DUSK GREY</v>
          </cell>
          <cell r="R444">
            <v>6.0750000000000002</v>
          </cell>
          <cell r="S444">
            <v>127.37</v>
          </cell>
          <cell r="T444">
            <v>17.920000000000002</v>
          </cell>
          <cell r="U444">
            <v>0</v>
          </cell>
          <cell r="BA444">
            <v>145.29000000000002</v>
          </cell>
          <cell r="BB444">
            <v>30</v>
          </cell>
          <cell r="BF444" t="str">
            <v>Ok</v>
          </cell>
        </row>
        <row r="445">
          <cell r="B445" t="str">
            <v>DUVAL BEIGE</v>
          </cell>
          <cell r="R445">
            <v>117.05000000000001</v>
          </cell>
          <cell r="S445">
            <v>681.2</v>
          </cell>
          <cell r="T445">
            <v>85.1</v>
          </cell>
          <cell r="U445">
            <v>786.9</v>
          </cell>
          <cell r="BA445">
            <v>1553.2</v>
          </cell>
          <cell r="BB445">
            <v>750</v>
          </cell>
          <cell r="BF445" t="str">
            <v>Ok</v>
          </cell>
        </row>
        <row r="446">
          <cell r="B446" t="str">
            <v>DUVAL BURLAP</v>
          </cell>
          <cell r="R446">
            <v>806.47500000000002</v>
          </cell>
          <cell r="S446">
            <v>116.3</v>
          </cell>
          <cell r="T446">
            <v>23.2</v>
          </cell>
          <cell r="U446">
            <v>757.9</v>
          </cell>
          <cell r="BA446">
            <v>4806.3999999999996</v>
          </cell>
          <cell r="BB446">
            <v>2450</v>
          </cell>
          <cell r="BF446" t="str">
            <v>Ok</v>
          </cell>
        </row>
        <row r="447">
          <cell r="B447" t="str">
            <v>DUVAL ECRU</v>
          </cell>
          <cell r="R447">
            <v>127.69500000000001</v>
          </cell>
          <cell r="S447">
            <v>651.20000000000005</v>
          </cell>
          <cell r="T447">
            <v>38.79</v>
          </cell>
          <cell r="U447">
            <v>0</v>
          </cell>
          <cell r="BA447">
            <v>689.99</v>
          </cell>
          <cell r="BB447">
            <v>100</v>
          </cell>
          <cell r="BF447" t="str">
            <v>Ok</v>
          </cell>
        </row>
        <row r="448">
          <cell r="B448" t="str">
            <v>DUVAL GREY</v>
          </cell>
          <cell r="R448">
            <v>77.575000000000003</v>
          </cell>
          <cell r="S448">
            <v>186.6</v>
          </cell>
          <cell r="T448">
            <v>8.1</v>
          </cell>
          <cell r="U448">
            <v>0</v>
          </cell>
          <cell r="BA448">
            <v>194.7</v>
          </cell>
          <cell r="BB448">
            <v>150</v>
          </cell>
          <cell r="BF448" t="str">
            <v>Resurtir</v>
          </cell>
        </row>
        <row r="449">
          <cell r="B449" t="str">
            <v>DUVAL IRON</v>
          </cell>
          <cell r="R449">
            <v>11.5</v>
          </cell>
          <cell r="S449">
            <v>892.6</v>
          </cell>
          <cell r="T449">
            <v>20.5</v>
          </cell>
          <cell r="U449">
            <v>0</v>
          </cell>
          <cell r="BA449">
            <v>913.1</v>
          </cell>
          <cell r="BB449">
            <v>100</v>
          </cell>
          <cell r="BF449" t="str">
            <v>Ok</v>
          </cell>
        </row>
        <row r="450">
          <cell r="B450" t="str">
            <v>DUVAL SAND</v>
          </cell>
          <cell r="R450">
            <v>257.65000000000003</v>
          </cell>
          <cell r="S450">
            <v>1134.7</v>
          </cell>
          <cell r="T450">
            <v>19</v>
          </cell>
          <cell r="U450">
            <v>0</v>
          </cell>
          <cell r="BA450">
            <v>2686.7</v>
          </cell>
          <cell r="BB450">
            <v>1000</v>
          </cell>
          <cell r="BF450" t="str">
            <v>Ok</v>
          </cell>
        </row>
        <row r="451">
          <cell r="B451" t="str">
            <v>DUVAL WOOD</v>
          </cell>
          <cell r="R451">
            <v>42.825000000000003</v>
          </cell>
          <cell r="S451">
            <v>152.4</v>
          </cell>
          <cell r="T451">
            <v>127.8</v>
          </cell>
          <cell r="U451">
            <v>0</v>
          </cell>
          <cell r="BA451">
            <v>1062.2</v>
          </cell>
          <cell r="BB451">
            <v>150</v>
          </cell>
          <cell r="BF451" t="str">
            <v>Ok</v>
          </cell>
        </row>
        <row r="452">
          <cell r="B452" t="str">
            <v>DYNAMIC ASH</v>
          </cell>
          <cell r="R452">
            <v>30.024999999999999</v>
          </cell>
          <cell r="S452">
            <v>940.1</v>
          </cell>
          <cell r="T452">
            <v>31.7</v>
          </cell>
          <cell r="U452">
            <v>0</v>
          </cell>
          <cell r="BA452">
            <v>971.80000000000007</v>
          </cell>
          <cell r="BB452">
            <v>0</v>
          </cell>
          <cell r="BF452" t="str">
            <v>Ok</v>
          </cell>
        </row>
        <row r="453">
          <cell r="B453" t="str">
            <v>DYNAMIC CHARCOAL</v>
          </cell>
          <cell r="R453">
            <v>38.637500000000003</v>
          </cell>
          <cell r="S453">
            <v>809.3</v>
          </cell>
          <cell r="T453">
            <v>50</v>
          </cell>
          <cell r="U453">
            <v>0</v>
          </cell>
          <cell r="BA453">
            <v>859.3</v>
          </cell>
          <cell r="BB453">
            <v>50</v>
          </cell>
          <cell r="BF453" t="str">
            <v>Ok</v>
          </cell>
        </row>
        <row r="454">
          <cell r="B454" t="str">
            <v>DYNAMIC SNOW</v>
          </cell>
          <cell r="R454">
            <v>192.88750000000002</v>
          </cell>
          <cell r="S454">
            <v>455.5</v>
          </cell>
          <cell r="T454">
            <v>60.8</v>
          </cell>
          <cell r="U454">
            <v>0</v>
          </cell>
          <cell r="BA454">
            <v>516.29999999999995</v>
          </cell>
          <cell r="BB454">
            <v>350</v>
          </cell>
          <cell r="BF454" t="str">
            <v>Resurtir</v>
          </cell>
        </row>
        <row r="455">
          <cell r="B455" t="str">
            <v>DYNAMIC STEEL</v>
          </cell>
          <cell r="R455">
            <v>24.5</v>
          </cell>
          <cell r="S455">
            <v>750.6</v>
          </cell>
          <cell r="T455">
            <v>35.6</v>
          </cell>
          <cell r="U455">
            <v>0</v>
          </cell>
          <cell r="BA455">
            <v>786.2</v>
          </cell>
          <cell r="BB455">
            <v>150</v>
          </cell>
          <cell r="BF455" t="str">
            <v>Ok</v>
          </cell>
        </row>
        <row r="456">
          <cell r="B456" t="str">
            <v>DYNAMIC TAUPE</v>
          </cell>
          <cell r="R456">
            <v>252.22</v>
          </cell>
          <cell r="S456">
            <v>638.20000000000005</v>
          </cell>
          <cell r="T456">
            <v>46.5</v>
          </cell>
          <cell r="U456">
            <v>782.3</v>
          </cell>
          <cell r="BA456">
            <v>1467</v>
          </cell>
          <cell r="BB456">
            <v>450</v>
          </cell>
          <cell r="BF456" t="str">
            <v>Ok</v>
          </cell>
        </row>
        <row r="457">
          <cell r="B457" t="str">
            <v>EAST POINT AMERICANA</v>
          </cell>
          <cell r="R457">
            <v>22.622500000000002</v>
          </cell>
          <cell r="S457">
            <v>24.69</v>
          </cell>
          <cell r="T457">
            <v>0</v>
          </cell>
          <cell r="U457">
            <v>0</v>
          </cell>
          <cell r="BA457">
            <v>24.69</v>
          </cell>
          <cell r="BB457">
            <v>0</v>
          </cell>
          <cell r="BF457" t="str">
            <v>Resurtir</v>
          </cell>
        </row>
        <row r="458">
          <cell r="B458" t="str">
            <v>EAST POINT BURLAP</v>
          </cell>
          <cell r="R458">
            <v>6.875</v>
          </cell>
          <cell r="S458">
            <v>21.2</v>
          </cell>
          <cell r="T458">
            <v>19.8</v>
          </cell>
          <cell r="U458">
            <v>0</v>
          </cell>
          <cell r="BA458">
            <v>175</v>
          </cell>
          <cell r="BB458">
            <v>0</v>
          </cell>
          <cell r="BF458" t="str">
            <v>Ok</v>
          </cell>
        </row>
        <row r="459">
          <cell r="B459" t="str">
            <v>EAST POINT PARCHMENT</v>
          </cell>
          <cell r="R459">
            <v>5.93</v>
          </cell>
          <cell r="S459">
            <v>0</v>
          </cell>
          <cell r="T459">
            <v>9.5</v>
          </cell>
          <cell r="U459">
            <v>134.69999999999999</v>
          </cell>
          <cell r="BA459">
            <v>144.19999999999999</v>
          </cell>
          <cell r="BB459">
            <v>0</v>
          </cell>
          <cell r="BF459" t="str">
            <v>Ok</v>
          </cell>
        </row>
        <row r="460">
          <cell r="B460" t="str">
            <v>ELITE DARK GREY</v>
          </cell>
          <cell r="R460">
            <v>26.857500000000002</v>
          </cell>
          <cell r="S460">
            <v>832.9</v>
          </cell>
          <cell r="T460">
            <v>31</v>
          </cell>
          <cell r="U460">
            <v>0</v>
          </cell>
          <cell r="BA460">
            <v>863.9</v>
          </cell>
          <cell r="BB460">
            <v>0</v>
          </cell>
          <cell r="BF460" t="str">
            <v>Ok</v>
          </cell>
        </row>
        <row r="461">
          <cell r="B461" t="str">
            <v>ELITE FLAX</v>
          </cell>
          <cell r="R461">
            <v>63.887499999999996</v>
          </cell>
          <cell r="S461">
            <v>634.9</v>
          </cell>
          <cell r="T461">
            <v>33.200000000000003</v>
          </cell>
          <cell r="U461">
            <v>1178.8</v>
          </cell>
          <cell r="BA461">
            <v>1846.9</v>
          </cell>
          <cell r="BB461">
            <v>150</v>
          </cell>
          <cell r="BF461" t="str">
            <v>Ok</v>
          </cell>
        </row>
        <row r="462">
          <cell r="B462" t="str">
            <v>ELITE GREY</v>
          </cell>
          <cell r="R462">
            <v>24.474999999999998</v>
          </cell>
          <cell r="S462">
            <v>491</v>
          </cell>
          <cell r="T462">
            <v>5.3</v>
          </cell>
          <cell r="U462">
            <v>0</v>
          </cell>
          <cell r="BA462">
            <v>496.3</v>
          </cell>
          <cell r="BB462">
            <v>0</v>
          </cell>
          <cell r="BF462" t="str">
            <v>Ok</v>
          </cell>
        </row>
        <row r="463">
          <cell r="B463" t="str">
            <v>ELITE PEWTER</v>
          </cell>
          <cell r="R463">
            <v>24.440000000000005</v>
          </cell>
          <cell r="S463">
            <v>154.5</v>
          </cell>
          <cell r="T463">
            <v>30.8</v>
          </cell>
          <cell r="U463">
            <v>981.2</v>
          </cell>
          <cell r="BA463">
            <v>1166.5</v>
          </cell>
          <cell r="BB463">
            <v>0</v>
          </cell>
          <cell r="BF463" t="str">
            <v>Ok</v>
          </cell>
        </row>
        <row r="464">
          <cell r="B464" t="str">
            <v>ELITE ROYAL</v>
          </cell>
          <cell r="R464">
            <v>13.85</v>
          </cell>
          <cell r="S464">
            <v>319.7</v>
          </cell>
          <cell r="T464">
            <v>33.299999999999997</v>
          </cell>
          <cell r="U464">
            <v>0</v>
          </cell>
          <cell r="BA464">
            <v>353</v>
          </cell>
          <cell r="BB464">
            <v>0</v>
          </cell>
          <cell r="BF464" t="str">
            <v>Ok</v>
          </cell>
        </row>
        <row r="465">
          <cell r="B465" t="str">
            <v>ELITE SILVER</v>
          </cell>
          <cell r="R465">
            <v>32.875</v>
          </cell>
          <cell r="S465">
            <v>877.3</v>
          </cell>
          <cell r="T465">
            <v>18.3</v>
          </cell>
          <cell r="U465">
            <v>0</v>
          </cell>
          <cell r="BA465">
            <v>895.59999999999991</v>
          </cell>
          <cell r="BB465">
            <v>0</v>
          </cell>
          <cell r="BF465" t="str">
            <v>Ok</v>
          </cell>
        </row>
        <row r="466">
          <cell r="B466" t="str">
            <v>ELITE SPA</v>
          </cell>
          <cell r="R466">
            <v>6.75</v>
          </cell>
          <cell r="S466">
            <v>966.9</v>
          </cell>
          <cell r="T466">
            <v>35.200000000000003</v>
          </cell>
          <cell r="U466">
            <v>0</v>
          </cell>
          <cell r="BA466">
            <v>1002.1</v>
          </cell>
          <cell r="BB466">
            <v>0</v>
          </cell>
          <cell r="BF466" t="str">
            <v>Ok</v>
          </cell>
        </row>
        <row r="467">
          <cell r="B467" t="str">
            <v>ELITE STONE</v>
          </cell>
          <cell r="R467">
            <v>19.817500000000003</v>
          </cell>
          <cell r="S467">
            <v>127</v>
          </cell>
          <cell r="T467">
            <v>15.5</v>
          </cell>
          <cell r="U467">
            <v>1077.3</v>
          </cell>
          <cell r="BA467">
            <v>1219.8</v>
          </cell>
          <cell r="BB467">
            <v>0</v>
          </cell>
          <cell r="BF467" t="str">
            <v>Ok</v>
          </cell>
        </row>
        <row r="468">
          <cell r="B468" t="str">
            <v>EMILY ALABASTER</v>
          </cell>
          <cell r="R468">
            <v>0</v>
          </cell>
          <cell r="S468">
            <v>373.4</v>
          </cell>
          <cell r="T468">
            <v>5.4</v>
          </cell>
          <cell r="U468">
            <v>720</v>
          </cell>
          <cell r="BA468">
            <v>1098.8</v>
          </cell>
          <cell r="BB468">
            <v>0</v>
          </cell>
          <cell r="BF468" t="str">
            <v>Ok</v>
          </cell>
        </row>
        <row r="469">
          <cell r="B469" t="str">
            <v>EMILY DOUBLE ALABASTER</v>
          </cell>
          <cell r="R469">
            <v>2.75</v>
          </cell>
          <cell r="S469">
            <v>182.8</v>
          </cell>
          <cell r="T469">
            <v>0</v>
          </cell>
          <cell r="U469">
            <v>452</v>
          </cell>
          <cell r="BA469">
            <v>634.79999999999995</v>
          </cell>
          <cell r="BB469">
            <v>0</v>
          </cell>
          <cell r="BF469" t="str">
            <v>Ok</v>
          </cell>
        </row>
        <row r="470">
          <cell r="B470" t="str">
            <v>EMILY DOUBLE IRON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BA470">
            <v>0</v>
          </cell>
          <cell r="BB470">
            <v>0</v>
          </cell>
          <cell r="BF470" t="str">
            <v>Resurtir</v>
          </cell>
        </row>
        <row r="471">
          <cell r="B471" t="str">
            <v>EMILY DOUBLE IVORY</v>
          </cell>
          <cell r="R471">
            <v>26.375</v>
          </cell>
          <cell r="S471">
            <v>392</v>
          </cell>
          <cell r="T471">
            <v>32.9</v>
          </cell>
          <cell r="U471">
            <v>0</v>
          </cell>
          <cell r="BA471">
            <v>424.9</v>
          </cell>
          <cell r="BB471">
            <v>0</v>
          </cell>
          <cell r="BF471" t="str">
            <v>Ok</v>
          </cell>
        </row>
        <row r="472">
          <cell r="B472" t="str">
            <v>EMILY DOUBLE SAND</v>
          </cell>
          <cell r="R472">
            <v>14.525</v>
          </cell>
          <cell r="S472">
            <v>478.9</v>
          </cell>
          <cell r="T472">
            <v>20.8</v>
          </cell>
          <cell r="U472">
            <v>0</v>
          </cell>
          <cell r="BA472">
            <v>499.7</v>
          </cell>
          <cell r="BB472">
            <v>0</v>
          </cell>
          <cell r="BF472" t="str">
            <v>Ok</v>
          </cell>
        </row>
        <row r="473">
          <cell r="B473" t="str">
            <v>EMILY DOUBLE SNOW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BA473">
            <v>0</v>
          </cell>
          <cell r="BB473">
            <v>0</v>
          </cell>
          <cell r="BF473" t="str">
            <v>Resurtir</v>
          </cell>
        </row>
        <row r="474">
          <cell r="B474" t="str">
            <v>EMILY IRON</v>
          </cell>
          <cell r="R474">
            <v>49.5</v>
          </cell>
          <cell r="S474">
            <v>697</v>
          </cell>
          <cell r="T474">
            <v>55.15</v>
          </cell>
          <cell r="U474">
            <v>0</v>
          </cell>
          <cell r="BA474">
            <v>752.15</v>
          </cell>
          <cell r="BB474">
            <v>350</v>
          </cell>
          <cell r="BF474" t="str">
            <v>Ok</v>
          </cell>
        </row>
        <row r="475">
          <cell r="B475" t="str">
            <v>EMILY IVORY</v>
          </cell>
          <cell r="R475">
            <v>0</v>
          </cell>
          <cell r="S475">
            <v>599.20000000000005</v>
          </cell>
          <cell r="T475">
            <v>47.1</v>
          </cell>
          <cell r="U475">
            <v>0</v>
          </cell>
          <cell r="BA475">
            <v>646.30000000000007</v>
          </cell>
          <cell r="BB475">
            <v>0</v>
          </cell>
          <cell r="BF475" t="str">
            <v>Ok</v>
          </cell>
        </row>
        <row r="476">
          <cell r="B476" t="str">
            <v>EMILY SAND</v>
          </cell>
          <cell r="R476">
            <v>0</v>
          </cell>
          <cell r="S476">
            <v>20.9</v>
          </cell>
          <cell r="T476">
            <v>35.799999999999997</v>
          </cell>
          <cell r="U476">
            <v>0</v>
          </cell>
          <cell r="BA476">
            <v>56.699999999999996</v>
          </cell>
          <cell r="BB476">
            <v>50</v>
          </cell>
          <cell r="BF476" t="str">
            <v>Ok</v>
          </cell>
        </row>
        <row r="477">
          <cell r="B477" t="str">
            <v>EMILY SNOW</v>
          </cell>
          <cell r="R477">
            <v>11.75</v>
          </cell>
          <cell r="S477">
            <v>862.5</v>
          </cell>
          <cell r="T477">
            <v>34.299999999999997</v>
          </cell>
          <cell r="U477">
            <v>0</v>
          </cell>
          <cell r="BA477">
            <v>896.8</v>
          </cell>
          <cell r="BB477">
            <v>0</v>
          </cell>
          <cell r="BF477" t="str">
            <v>Ok</v>
          </cell>
        </row>
        <row r="478">
          <cell r="B478" t="str">
            <v>EMMA CHAMPAGNE</v>
          </cell>
          <cell r="R478">
            <v>95.65</v>
          </cell>
          <cell r="S478">
            <v>1317</v>
          </cell>
          <cell r="T478">
            <v>54</v>
          </cell>
          <cell r="U478">
            <v>0</v>
          </cell>
          <cell r="BA478">
            <v>2521</v>
          </cell>
          <cell r="BB478">
            <v>200</v>
          </cell>
          <cell r="BF478" t="str">
            <v>Ok</v>
          </cell>
        </row>
        <row r="479">
          <cell r="B479" t="str">
            <v>EMMA WHITE</v>
          </cell>
          <cell r="R479">
            <v>32.875</v>
          </cell>
          <cell r="S479">
            <v>333</v>
          </cell>
          <cell r="T479">
            <v>15.25</v>
          </cell>
          <cell r="U479">
            <v>0</v>
          </cell>
          <cell r="BA479">
            <v>348.25</v>
          </cell>
          <cell r="BB479">
            <v>0</v>
          </cell>
          <cell r="BF479" t="str">
            <v>Ok</v>
          </cell>
        </row>
        <row r="480">
          <cell r="B480" t="str">
            <v>ENORA BLACK</v>
          </cell>
          <cell r="R480">
            <v>62.975000000000009</v>
          </cell>
          <cell r="S480">
            <v>1844.7</v>
          </cell>
          <cell r="T480">
            <v>21</v>
          </cell>
          <cell r="U480">
            <v>0</v>
          </cell>
          <cell r="BA480">
            <v>1865.7</v>
          </cell>
          <cell r="BB480">
            <v>200</v>
          </cell>
          <cell r="BF480" t="str">
            <v>Ok</v>
          </cell>
        </row>
        <row r="481">
          <cell r="B481" t="str">
            <v>ENORA BRASS</v>
          </cell>
          <cell r="R481">
            <v>45.75</v>
          </cell>
          <cell r="S481">
            <v>351.5</v>
          </cell>
          <cell r="T481">
            <v>24.2</v>
          </cell>
          <cell r="U481">
            <v>0</v>
          </cell>
          <cell r="BA481">
            <v>375.7</v>
          </cell>
          <cell r="BB481">
            <v>250</v>
          </cell>
          <cell r="BF481" t="str">
            <v>Ok</v>
          </cell>
        </row>
        <row r="482">
          <cell r="B482" t="str">
            <v>ENORA CHARCOAL</v>
          </cell>
          <cell r="R482">
            <v>392.6</v>
          </cell>
          <cell r="S482">
            <v>411.3</v>
          </cell>
          <cell r="T482">
            <v>54</v>
          </cell>
          <cell r="U482">
            <v>1635.6</v>
          </cell>
          <cell r="BA482">
            <v>2100.9</v>
          </cell>
          <cell r="BB482">
            <v>900</v>
          </cell>
          <cell r="BF482" t="str">
            <v>Ok</v>
          </cell>
        </row>
        <row r="483">
          <cell r="B483" t="str">
            <v>ENORA CREAM</v>
          </cell>
          <cell r="R483">
            <v>287.79999999999995</v>
          </cell>
          <cell r="S483">
            <v>1468.5</v>
          </cell>
          <cell r="T483">
            <v>49</v>
          </cell>
          <cell r="U483">
            <v>1484.2</v>
          </cell>
          <cell r="BA483">
            <v>3001.7</v>
          </cell>
          <cell r="BB483">
            <v>750</v>
          </cell>
          <cell r="BF483" t="str">
            <v>Ok</v>
          </cell>
        </row>
        <row r="484">
          <cell r="B484" t="str">
            <v>ENORA DARK GREY</v>
          </cell>
          <cell r="R484">
            <v>225.72500000000002</v>
          </cell>
          <cell r="S484">
            <v>1763.6</v>
          </cell>
          <cell r="T484">
            <v>28.8</v>
          </cell>
          <cell r="U484">
            <v>0</v>
          </cell>
          <cell r="BA484">
            <v>3192.3999999999996</v>
          </cell>
          <cell r="BB484">
            <v>750</v>
          </cell>
          <cell r="BF484" t="str">
            <v>Ok</v>
          </cell>
        </row>
        <row r="485">
          <cell r="B485" t="str">
            <v>ENORA FLAX</v>
          </cell>
          <cell r="R485">
            <v>47.774999999999999</v>
          </cell>
          <cell r="S485">
            <v>424.8</v>
          </cell>
          <cell r="T485">
            <v>27.1</v>
          </cell>
          <cell r="U485">
            <v>0</v>
          </cell>
          <cell r="BA485">
            <v>2086.9</v>
          </cell>
          <cell r="BB485">
            <v>250</v>
          </cell>
          <cell r="BF485" t="str">
            <v>Ok</v>
          </cell>
        </row>
        <row r="486">
          <cell r="B486" t="str">
            <v>ENORA GREY</v>
          </cell>
          <cell r="R486">
            <v>256.55</v>
          </cell>
          <cell r="S486">
            <v>978.6</v>
          </cell>
          <cell r="T486">
            <v>32.299999999999997</v>
          </cell>
          <cell r="U486">
            <v>0</v>
          </cell>
          <cell r="BA486">
            <v>2618.9</v>
          </cell>
          <cell r="BB486">
            <v>900</v>
          </cell>
          <cell r="BF486" t="str">
            <v>Ok</v>
          </cell>
        </row>
        <row r="487">
          <cell r="B487" t="str">
            <v>ENORA INDIGO</v>
          </cell>
          <cell r="R487">
            <v>35.15</v>
          </cell>
          <cell r="S487">
            <v>540.5</v>
          </cell>
          <cell r="T487">
            <v>13.2</v>
          </cell>
          <cell r="U487">
            <v>1621.6</v>
          </cell>
          <cell r="BA487">
            <v>2175.3000000000002</v>
          </cell>
          <cell r="BB487">
            <v>450</v>
          </cell>
          <cell r="BF487" t="str">
            <v>Ok</v>
          </cell>
        </row>
        <row r="488">
          <cell r="B488" t="str">
            <v>ENORA IVORY</v>
          </cell>
          <cell r="R488">
            <v>55.274999999999999</v>
          </cell>
          <cell r="S488">
            <v>785.3</v>
          </cell>
          <cell r="T488">
            <v>18.5</v>
          </cell>
          <cell r="U488">
            <v>0</v>
          </cell>
          <cell r="BA488">
            <v>803.8</v>
          </cell>
          <cell r="BB488">
            <v>0</v>
          </cell>
          <cell r="BF488" t="str">
            <v>Ok</v>
          </cell>
        </row>
        <row r="489">
          <cell r="B489" t="str">
            <v>ENORA SILVER</v>
          </cell>
          <cell r="R489">
            <v>48.825000000000003</v>
          </cell>
          <cell r="S489">
            <v>746.2</v>
          </cell>
          <cell r="T489">
            <v>6</v>
          </cell>
          <cell r="U489">
            <v>2527</v>
          </cell>
          <cell r="BA489">
            <v>3279.2</v>
          </cell>
          <cell r="BB489">
            <v>0</v>
          </cell>
          <cell r="BF489" t="str">
            <v>Ok</v>
          </cell>
        </row>
        <row r="490">
          <cell r="B490" t="str">
            <v>ENORA SNOW</v>
          </cell>
          <cell r="R490">
            <v>170.67500000000001</v>
          </cell>
          <cell r="S490">
            <v>763.5</v>
          </cell>
          <cell r="T490">
            <v>0</v>
          </cell>
          <cell r="U490">
            <v>1561.9</v>
          </cell>
          <cell r="BA490">
            <v>2325.4</v>
          </cell>
          <cell r="BB490">
            <v>1100</v>
          </cell>
          <cell r="BF490" t="str">
            <v>Ok</v>
          </cell>
        </row>
        <row r="491">
          <cell r="B491" t="str">
            <v>EYELASH FAWN</v>
          </cell>
          <cell r="R491">
            <v>24.274999999999999</v>
          </cell>
          <cell r="S491">
            <v>0</v>
          </cell>
          <cell r="T491">
            <v>7</v>
          </cell>
          <cell r="U491">
            <v>0</v>
          </cell>
          <cell r="BA491">
            <v>207</v>
          </cell>
          <cell r="BB491">
            <v>250</v>
          </cell>
          <cell r="BF491" t="str">
            <v>Resurtir</v>
          </cell>
        </row>
        <row r="492">
          <cell r="B492" t="str">
            <v>EYELASH PEARL</v>
          </cell>
          <cell r="R492">
            <v>5.65</v>
          </cell>
          <cell r="S492">
            <v>80.5</v>
          </cell>
          <cell r="T492">
            <v>5.3</v>
          </cell>
          <cell r="U492">
            <v>0</v>
          </cell>
          <cell r="BA492">
            <v>85.8</v>
          </cell>
          <cell r="BB492">
            <v>0</v>
          </cell>
          <cell r="BF492" t="str">
            <v>Ok</v>
          </cell>
        </row>
        <row r="493">
          <cell r="B493" t="str">
            <v>FANCY BARK</v>
          </cell>
          <cell r="R493">
            <v>275.09999999999997</v>
          </cell>
          <cell r="S493">
            <v>2361.6</v>
          </cell>
          <cell r="T493">
            <v>51.6</v>
          </cell>
          <cell r="U493">
            <v>626.9</v>
          </cell>
          <cell r="BA493">
            <v>3840.1</v>
          </cell>
          <cell r="BB493">
            <v>3900</v>
          </cell>
          <cell r="BF493" t="str">
            <v>Resurtir</v>
          </cell>
        </row>
        <row r="494">
          <cell r="B494" t="str">
            <v>FANCY BRICK</v>
          </cell>
          <cell r="R494">
            <v>11.5</v>
          </cell>
          <cell r="S494">
            <v>660.2</v>
          </cell>
          <cell r="T494">
            <v>18.399999999999999</v>
          </cell>
          <cell r="U494">
            <v>0</v>
          </cell>
          <cell r="BA494">
            <v>678.6</v>
          </cell>
          <cell r="BB494">
            <v>0</v>
          </cell>
          <cell r="BF494" t="str">
            <v>Ok</v>
          </cell>
        </row>
        <row r="495">
          <cell r="B495" t="str">
            <v>FANCY GOLD</v>
          </cell>
          <cell r="R495">
            <v>5</v>
          </cell>
          <cell r="S495">
            <v>773.4</v>
          </cell>
          <cell r="T495">
            <v>13.4</v>
          </cell>
          <cell r="U495">
            <v>0</v>
          </cell>
          <cell r="BA495">
            <v>786.8</v>
          </cell>
          <cell r="BB495">
            <v>0</v>
          </cell>
          <cell r="BF495" t="str">
            <v>Ok</v>
          </cell>
        </row>
        <row r="496">
          <cell r="B496" t="str">
            <v>FANCY IVORY</v>
          </cell>
          <cell r="R496">
            <v>644.17499999999995</v>
          </cell>
          <cell r="S496">
            <v>766.4</v>
          </cell>
          <cell r="T496">
            <v>7.1</v>
          </cell>
          <cell r="U496">
            <v>4408.8</v>
          </cell>
          <cell r="BA496">
            <v>5982.3</v>
          </cell>
          <cell r="BB496">
            <v>4250</v>
          </cell>
          <cell r="BF496" t="str">
            <v>Ok</v>
          </cell>
        </row>
        <row r="497">
          <cell r="B497" t="str">
            <v>FANCY METAL</v>
          </cell>
          <cell r="R497">
            <v>38.674999999999997</v>
          </cell>
          <cell r="S497">
            <v>590.20000000000005</v>
          </cell>
          <cell r="T497">
            <v>34.5</v>
          </cell>
          <cell r="U497">
            <v>1848.6</v>
          </cell>
          <cell r="BA497">
            <v>2473.3000000000002</v>
          </cell>
          <cell r="BB497">
            <v>1750</v>
          </cell>
          <cell r="BF497" t="str">
            <v>Ok</v>
          </cell>
        </row>
        <row r="498">
          <cell r="B498" t="str">
            <v>FANCY MINERAL</v>
          </cell>
          <cell r="R498">
            <v>224.6</v>
          </cell>
          <cell r="S498">
            <v>1776.2</v>
          </cell>
          <cell r="T498">
            <v>37.9</v>
          </cell>
          <cell r="U498">
            <v>716.7</v>
          </cell>
          <cell r="BA498">
            <v>2530.8000000000002</v>
          </cell>
          <cell r="BB498">
            <v>1100</v>
          </cell>
          <cell r="BF498" t="str">
            <v>Ok</v>
          </cell>
        </row>
        <row r="499">
          <cell r="B499" t="str">
            <v>FANCY PEWTER</v>
          </cell>
          <cell r="R499">
            <v>511.95</v>
          </cell>
          <cell r="S499">
            <v>1643.7</v>
          </cell>
          <cell r="T499">
            <v>54.8</v>
          </cell>
          <cell r="U499">
            <v>714.2</v>
          </cell>
          <cell r="BA499">
            <v>4012.7</v>
          </cell>
          <cell r="BB499">
            <v>3250</v>
          </cell>
          <cell r="BF499" t="str">
            <v>Ok</v>
          </cell>
        </row>
        <row r="500">
          <cell r="B500" t="str">
            <v>FANCY STEEL</v>
          </cell>
          <cell r="R500">
            <v>601.65</v>
          </cell>
          <cell r="S500">
            <v>0.3</v>
          </cell>
          <cell r="T500">
            <v>0</v>
          </cell>
          <cell r="U500">
            <v>0</v>
          </cell>
          <cell r="BA500">
            <v>2837.3</v>
          </cell>
          <cell r="BB500">
            <v>3500</v>
          </cell>
          <cell r="BF500" t="str">
            <v>Resurtir</v>
          </cell>
        </row>
        <row r="501">
          <cell r="B501" t="str">
            <v>FANCY TUKS</v>
          </cell>
          <cell r="R501">
            <v>830.4</v>
          </cell>
          <cell r="S501">
            <v>1458.5</v>
          </cell>
          <cell r="T501">
            <v>34.299999999999997</v>
          </cell>
          <cell r="U501">
            <v>183.2</v>
          </cell>
          <cell r="BA501">
            <v>3819</v>
          </cell>
          <cell r="BB501">
            <v>4500</v>
          </cell>
          <cell r="BF501" t="str">
            <v>Resurtir</v>
          </cell>
        </row>
        <row r="502">
          <cell r="B502" t="str">
            <v>FANCY ZINC</v>
          </cell>
          <cell r="R502">
            <v>827.77499999999998</v>
          </cell>
          <cell r="S502">
            <v>639.79999999999995</v>
          </cell>
          <cell r="T502">
            <v>19.7</v>
          </cell>
          <cell r="U502">
            <v>719.2</v>
          </cell>
          <cell r="BA502">
            <v>4432.7</v>
          </cell>
          <cell r="BB502">
            <v>4450</v>
          </cell>
          <cell r="BF502" t="str">
            <v>Resurtir</v>
          </cell>
        </row>
        <row r="503">
          <cell r="B503" t="str">
            <v>FARFALLA GREY</v>
          </cell>
          <cell r="R503">
            <v>2.5249999999999999</v>
          </cell>
          <cell r="S503">
            <v>205.2</v>
          </cell>
          <cell r="T503">
            <v>10.3</v>
          </cell>
          <cell r="U503">
            <v>0</v>
          </cell>
          <cell r="BA503">
            <v>1626.5</v>
          </cell>
          <cell r="BB503">
            <v>0</v>
          </cell>
          <cell r="BF503" t="str">
            <v>Ok</v>
          </cell>
        </row>
        <row r="504">
          <cell r="B504" t="str">
            <v>FASHION BEIGE</v>
          </cell>
          <cell r="R504">
            <v>57.949999999999996</v>
          </cell>
          <cell r="S504">
            <v>0</v>
          </cell>
          <cell r="T504">
            <v>5.7</v>
          </cell>
          <cell r="U504">
            <v>0</v>
          </cell>
          <cell r="BA504">
            <v>1229.7</v>
          </cell>
          <cell r="BB504">
            <v>0</v>
          </cell>
          <cell r="BF504" t="str">
            <v>Ok</v>
          </cell>
        </row>
        <row r="505">
          <cell r="B505" t="str">
            <v>FASHION BLACK</v>
          </cell>
          <cell r="R505">
            <v>124.30000000000001</v>
          </cell>
          <cell r="S505">
            <v>434.3</v>
          </cell>
          <cell r="T505">
            <v>95.3</v>
          </cell>
          <cell r="U505">
            <v>779.8</v>
          </cell>
          <cell r="BA505">
            <v>1309.4000000000001</v>
          </cell>
          <cell r="BB505">
            <v>300</v>
          </cell>
          <cell r="BF505" t="str">
            <v>Ok</v>
          </cell>
        </row>
        <row r="506">
          <cell r="B506" t="str">
            <v>FASHION BONE</v>
          </cell>
          <cell r="R506">
            <v>218.42500000000001</v>
          </cell>
          <cell r="S506">
            <v>744.7</v>
          </cell>
          <cell r="T506">
            <v>21</v>
          </cell>
          <cell r="U506">
            <v>0</v>
          </cell>
          <cell r="BA506">
            <v>1765.7</v>
          </cell>
          <cell r="BB506">
            <v>250</v>
          </cell>
          <cell r="BF506" t="str">
            <v>Ok</v>
          </cell>
        </row>
        <row r="507">
          <cell r="B507" t="str">
            <v>FASHION CAPUCCINO</v>
          </cell>
          <cell r="R507">
            <v>65.5</v>
          </cell>
          <cell r="S507">
            <v>960.3</v>
          </cell>
          <cell r="T507">
            <v>19.600000000000001</v>
          </cell>
          <cell r="U507">
            <v>0</v>
          </cell>
          <cell r="BA507">
            <v>979.9</v>
          </cell>
          <cell r="BB507">
            <v>0</v>
          </cell>
          <cell r="BF507" t="str">
            <v>Ok</v>
          </cell>
        </row>
        <row r="508">
          <cell r="B508" t="str">
            <v>FASHION GREY</v>
          </cell>
          <cell r="R508">
            <v>76.349999999999994</v>
          </cell>
          <cell r="S508">
            <v>396.8</v>
          </cell>
          <cell r="T508">
            <v>167.2</v>
          </cell>
          <cell r="U508">
            <v>0</v>
          </cell>
          <cell r="BA508">
            <v>564</v>
          </cell>
          <cell r="BB508">
            <v>100</v>
          </cell>
          <cell r="BF508" t="str">
            <v>Ok</v>
          </cell>
        </row>
        <row r="509">
          <cell r="B509" t="str">
            <v>FASHION PLATINUM</v>
          </cell>
          <cell r="R509">
            <v>39.375</v>
          </cell>
          <cell r="S509">
            <v>201.5</v>
          </cell>
          <cell r="T509">
            <v>15.3</v>
          </cell>
          <cell r="U509">
            <v>1095.4000000000001</v>
          </cell>
          <cell r="BA509">
            <v>1312.2</v>
          </cell>
          <cell r="BB509">
            <v>0</v>
          </cell>
          <cell r="BF509" t="str">
            <v>Ok</v>
          </cell>
        </row>
        <row r="510">
          <cell r="B510" t="str">
            <v>FASHION TITANIUM</v>
          </cell>
          <cell r="R510">
            <v>0</v>
          </cell>
          <cell r="S510">
            <v>570.9</v>
          </cell>
          <cell r="T510">
            <v>49.8</v>
          </cell>
          <cell r="U510">
            <v>0</v>
          </cell>
          <cell r="BA510">
            <v>620.69999999999993</v>
          </cell>
          <cell r="BB510">
            <v>0</v>
          </cell>
          <cell r="BF510" t="str">
            <v>Ok</v>
          </cell>
        </row>
        <row r="511">
          <cell r="B511" t="str">
            <v>FAVARA CREAM</v>
          </cell>
          <cell r="R511">
            <v>0.75</v>
          </cell>
          <cell r="S511">
            <v>0</v>
          </cell>
          <cell r="T511">
            <v>26.4</v>
          </cell>
          <cell r="U511">
            <v>84.2</v>
          </cell>
          <cell r="BA511">
            <v>110.6</v>
          </cell>
          <cell r="BB511">
            <v>0</v>
          </cell>
          <cell r="BF511" t="str">
            <v>Ok</v>
          </cell>
        </row>
        <row r="512">
          <cell r="B512" t="str">
            <v>FAVIA ARCTIC</v>
          </cell>
          <cell r="R512">
            <v>18.899999999999999</v>
          </cell>
          <cell r="S512">
            <v>25.1</v>
          </cell>
          <cell r="T512">
            <v>11.2</v>
          </cell>
          <cell r="U512">
            <v>0</v>
          </cell>
          <cell r="BA512">
            <v>36.299999999999997</v>
          </cell>
          <cell r="BB512">
            <v>0</v>
          </cell>
          <cell r="BF512" t="str">
            <v>Resurtir</v>
          </cell>
        </row>
        <row r="513">
          <cell r="B513" t="str">
            <v>FAVIA FOSSIL</v>
          </cell>
          <cell r="R513">
            <v>14.574999999999999</v>
          </cell>
          <cell r="S513">
            <v>0</v>
          </cell>
          <cell r="T513">
            <v>15.1</v>
          </cell>
          <cell r="U513">
            <v>0</v>
          </cell>
          <cell r="BA513">
            <v>15.1</v>
          </cell>
          <cell r="BB513">
            <v>0</v>
          </cell>
          <cell r="BF513" t="str">
            <v>Resurtir</v>
          </cell>
        </row>
        <row r="514">
          <cell r="B514" t="str">
            <v>FEATHER GRANITE</v>
          </cell>
          <cell r="R514">
            <v>7.75</v>
          </cell>
          <cell r="S514">
            <v>0</v>
          </cell>
          <cell r="T514">
            <v>24.8</v>
          </cell>
          <cell r="U514">
            <v>202.1</v>
          </cell>
          <cell r="BA514">
            <v>226.9</v>
          </cell>
          <cell r="BB514">
            <v>0</v>
          </cell>
          <cell r="BF514" t="str">
            <v>Ok</v>
          </cell>
        </row>
        <row r="515">
          <cell r="B515" t="str">
            <v>FEATHER PEBBLE</v>
          </cell>
          <cell r="R515">
            <v>15.75</v>
          </cell>
          <cell r="S515">
            <v>135.19999999999999</v>
          </cell>
          <cell r="T515">
            <v>17.899999999999999</v>
          </cell>
          <cell r="U515">
            <v>0</v>
          </cell>
          <cell r="BA515">
            <v>153.1</v>
          </cell>
          <cell r="BB515">
            <v>150</v>
          </cell>
          <cell r="BF515" t="str">
            <v>Ok</v>
          </cell>
        </row>
        <row r="516">
          <cell r="B516" t="str">
            <v>FIDENZA BONE</v>
          </cell>
          <cell r="R516">
            <v>7.6499999999999995</v>
          </cell>
          <cell r="S516">
            <v>21.6</v>
          </cell>
          <cell r="T516">
            <v>0</v>
          </cell>
          <cell r="U516">
            <v>0</v>
          </cell>
          <cell r="BA516">
            <v>121.6</v>
          </cell>
          <cell r="BB516">
            <v>15</v>
          </cell>
          <cell r="BF516" t="str">
            <v>Ok</v>
          </cell>
        </row>
        <row r="517">
          <cell r="B517" t="str">
            <v>FIDENZA COPPER</v>
          </cell>
          <cell r="R517">
            <v>6.5249999999999995</v>
          </cell>
          <cell r="S517">
            <v>31.4</v>
          </cell>
          <cell r="T517">
            <v>9</v>
          </cell>
          <cell r="U517">
            <v>0</v>
          </cell>
          <cell r="BA517">
            <v>40.4</v>
          </cell>
          <cell r="BB517">
            <v>0</v>
          </cell>
          <cell r="BF517" t="str">
            <v>Ok</v>
          </cell>
        </row>
        <row r="518">
          <cell r="B518" t="str">
            <v>FIDENZA GREY</v>
          </cell>
          <cell r="R518">
            <v>1.8749999999999998</v>
          </cell>
          <cell r="S518">
            <v>215</v>
          </cell>
          <cell r="T518">
            <v>0</v>
          </cell>
          <cell r="U518">
            <v>379.4</v>
          </cell>
          <cell r="BA518">
            <v>1049.4000000000001</v>
          </cell>
          <cell r="BB518">
            <v>0</v>
          </cell>
          <cell r="BF518" t="str">
            <v>Ok</v>
          </cell>
        </row>
        <row r="519">
          <cell r="B519" t="str">
            <v>FIDENZA PEARL</v>
          </cell>
          <cell r="R519">
            <v>6.2499999999999991</v>
          </cell>
          <cell r="S519">
            <v>85.1</v>
          </cell>
          <cell r="T519">
            <v>12.4</v>
          </cell>
          <cell r="U519">
            <v>0</v>
          </cell>
          <cell r="BA519">
            <v>97.5</v>
          </cell>
          <cell r="BB519">
            <v>0</v>
          </cell>
          <cell r="BF519" t="str">
            <v>Ok</v>
          </cell>
        </row>
        <row r="520">
          <cell r="B520" t="str">
            <v>FIDENZA PORCELAIN</v>
          </cell>
          <cell r="R520">
            <v>3.25</v>
          </cell>
          <cell r="S520">
            <v>41.6</v>
          </cell>
          <cell r="T520">
            <v>38.700000000000003</v>
          </cell>
          <cell r="U520">
            <v>0</v>
          </cell>
          <cell r="BA520">
            <v>80.300000000000011</v>
          </cell>
          <cell r="BB520">
            <v>0</v>
          </cell>
          <cell r="BF520" t="str">
            <v>Ok</v>
          </cell>
        </row>
        <row r="521">
          <cell r="B521" t="str">
            <v>FIORA ASH</v>
          </cell>
          <cell r="R521">
            <v>67.25</v>
          </cell>
          <cell r="S521">
            <v>382</v>
          </cell>
          <cell r="T521">
            <v>105</v>
          </cell>
          <cell r="U521">
            <v>0</v>
          </cell>
          <cell r="BA521">
            <v>1638</v>
          </cell>
          <cell r="BB521">
            <v>500</v>
          </cell>
          <cell r="BF521" t="str">
            <v>Ok</v>
          </cell>
        </row>
        <row r="522">
          <cell r="B522" t="str">
            <v>FIORA ECRU</v>
          </cell>
          <cell r="R522">
            <v>214.875</v>
          </cell>
          <cell r="S522">
            <v>2073.5</v>
          </cell>
          <cell r="T522">
            <v>31.4</v>
          </cell>
          <cell r="U522">
            <v>1082.5</v>
          </cell>
          <cell r="BA522">
            <v>3187.4</v>
          </cell>
          <cell r="BB522">
            <v>1000</v>
          </cell>
          <cell r="BF522" t="str">
            <v>Ok</v>
          </cell>
        </row>
        <row r="523">
          <cell r="B523" t="str">
            <v>FIORA LINEN</v>
          </cell>
          <cell r="R523">
            <v>533.45000000000005</v>
          </cell>
          <cell r="S523">
            <v>2760.7</v>
          </cell>
          <cell r="T523">
            <v>59.2</v>
          </cell>
          <cell r="U523">
            <v>0</v>
          </cell>
          <cell r="BA523">
            <v>3980.8999999999996</v>
          </cell>
          <cell r="BB523">
            <v>3200</v>
          </cell>
          <cell r="BF523" t="str">
            <v>Ok</v>
          </cell>
        </row>
        <row r="524">
          <cell r="B524" t="str">
            <v>FIORA PEARL</v>
          </cell>
          <cell r="R524">
            <v>70.174999999999997</v>
          </cell>
          <cell r="S524">
            <v>189</v>
          </cell>
          <cell r="T524">
            <v>45.2</v>
          </cell>
          <cell r="U524">
            <v>1199</v>
          </cell>
          <cell r="BA524">
            <v>1433.2</v>
          </cell>
          <cell r="BB524">
            <v>400</v>
          </cell>
          <cell r="BF524" t="str">
            <v>Ok</v>
          </cell>
        </row>
        <row r="525">
          <cell r="B525" t="str">
            <v>FIUME MIDNIGHT</v>
          </cell>
          <cell r="R525">
            <v>4.5</v>
          </cell>
          <cell r="S525">
            <v>0</v>
          </cell>
          <cell r="T525">
            <v>23.8</v>
          </cell>
          <cell r="U525">
            <v>38.4</v>
          </cell>
          <cell r="BA525">
            <v>62.2</v>
          </cell>
          <cell r="BB525">
            <v>0</v>
          </cell>
          <cell r="BF525" t="str">
            <v>Ok</v>
          </cell>
        </row>
        <row r="526">
          <cell r="B526" t="str">
            <v>FLAGSTAFF INDIGO</v>
          </cell>
          <cell r="R526">
            <v>2.0249999999999999</v>
          </cell>
          <cell r="S526">
            <v>212.4</v>
          </cell>
          <cell r="T526">
            <v>0</v>
          </cell>
          <cell r="U526">
            <v>0</v>
          </cell>
          <cell r="BA526">
            <v>212.4</v>
          </cell>
          <cell r="BB526">
            <v>0</v>
          </cell>
          <cell r="BF526" t="str">
            <v>Ok</v>
          </cell>
        </row>
        <row r="527">
          <cell r="B527" t="str">
            <v>FLY FLAX</v>
          </cell>
          <cell r="R527">
            <v>243.25</v>
          </cell>
          <cell r="S527">
            <v>72.8</v>
          </cell>
          <cell r="T527">
            <v>13</v>
          </cell>
          <cell r="U527">
            <v>587.29999999999995</v>
          </cell>
          <cell r="BA527">
            <v>1455.1</v>
          </cell>
          <cell r="BB527">
            <v>1000</v>
          </cell>
          <cell r="BF527" t="str">
            <v>Ok</v>
          </cell>
        </row>
        <row r="528">
          <cell r="B528" t="str">
            <v>FLY NATURE</v>
          </cell>
          <cell r="R528">
            <v>23</v>
          </cell>
          <cell r="S528">
            <v>196.1</v>
          </cell>
          <cell r="T528">
            <v>57.4</v>
          </cell>
          <cell r="U528">
            <v>0</v>
          </cell>
          <cell r="BA528">
            <v>253.5</v>
          </cell>
          <cell r="BB528">
            <v>0</v>
          </cell>
          <cell r="BF528" t="str">
            <v>Ok</v>
          </cell>
        </row>
        <row r="529">
          <cell r="B529" t="str">
            <v>FLY OYSTER</v>
          </cell>
          <cell r="R529">
            <v>35.5</v>
          </cell>
          <cell r="S529">
            <v>337.2</v>
          </cell>
          <cell r="T529">
            <v>0</v>
          </cell>
          <cell r="U529">
            <v>0</v>
          </cell>
          <cell r="BA529">
            <v>1137.2</v>
          </cell>
          <cell r="BB529">
            <v>50</v>
          </cell>
          <cell r="BF529" t="str">
            <v>Ok</v>
          </cell>
        </row>
        <row r="530">
          <cell r="B530" t="str">
            <v>FLY PEWTER</v>
          </cell>
          <cell r="R530">
            <v>16.524999999999999</v>
          </cell>
          <cell r="S530">
            <v>211.3</v>
          </cell>
          <cell r="T530">
            <v>16.7</v>
          </cell>
          <cell r="U530">
            <v>0</v>
          </cell>
          <cell r="BA530">
            <v>228</v>
          </cell>
          <cell r="BB530">
            <v>0</v>
          </cell>
          <cell r="BF530" t="str">
            <v>Ok</v>
          </cell>
        </row>
        <row r="531">
          <cell r="B531" t="str">
            <v>FOREVER BUTTERMILK</v>
          </cell>
          <cell r="R531">
            <v>0</v>
          </cell>
          <cell r="S531">
            <v>58.6</v>
          </cell>
          <cell r="T531">
            <v>0</v>
          </cell>
          <cell r="U531">
            <v>0</v>
          </cell>
          <cell r="BA531">
            <v>58.6</v>
          </cell>
          <cell r="BB531">
            <v>0</v>
          </cell>
          <cell r="BF531" t="str">
            <v>Ok</v>
          </cell>
        </row>
        <row r="532">
          <cell r="B532" t="str">
            <v>FOREVER DOVE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BA532">
            <v>0</v>
          </cell>
          <cell r="BB532">
            <v>0</v>
          </cell>
          <cell r="BF532" t="str">
            <v>Resurtir</v>
          </cell>
        </row>
        <row r="533">
          <cell r="B533" t="str">
            <v>FOREVER PLUS ALABASTER</v>
          </cell>
          <cell r="R533">
            <v>268.02499999999998</v>
          </cell>
          <cell r="S533">
            <v>705.2</v>
          </cell>
          <cell r="T533">
            <v>31.9</v>
          </cell>
          <cell r="U533">
            <v>0</v>
          </cell>
          <cell r="BA533">
            <v>1537.1</v>
          </cell>
          <cell r="BB533">
            <v>450</v>
          </cell>
          <cell r="BF533" t="str">
            <v>Ok</v>
          </cell>
        </row>
        <row r="534">
          <cell r="B534" t="str">
            <v>FOREVER PLUS BUTTERMILK</v>
          </cell>
          <cell r="R534">
            <v>137.97499999999999</v>
          </cell>
          <cell r="S534">
            <v>47.8</v>
          </cell>
          <cell r="T534">
            <v>13.7</v>
          </cell>
          <cell r="U534">
            <v>0</v>
          </cell>
          <cell r="BA534">
            <v>789.5</v>
          </cell>
          <cell r="BB534">
            <v>350</v>
          </cell>
          <cell r="BF534" t="str">
            <v>Ok</v>
          </cell>
        </row>
        <row r="535">
          <cell r="B535" t="str">
            <v>FOREVER PLUS CHARCOAL</v>
          </cell>
          <cell r="R535">
            <v>177.375</v>
          </cell>
          <cell r="S535">
            <v>217.9</v>
          </cell>
          <cell r="T535">
            <v>19.2</v>
          </cell>
          <cell r="U535">
            <v>0</v>
          </cell>
          <cell r="BA535">
            <v>898.1</v>
          </cell>
          <cell r="BB535">
            <v>500</v>
          </cell>
          <cell r="BF535" t="str">
            <v>Ok</v>
          </cell>
        </row>
        <row r="536">
          <cell r="B536" t="str">
            <v>FOREVER PLUS CHOCOLATE</v>
          </cell>
          <cell r="R536">
            <v>269.14999999999998</v>
          </cell>
          <cell r="S536">
            <v>667</v>
          </cell>
          <cell r="T536">
            <v>39.6</v>
          </cell>
          <cell r="U536">
            <v>0</v>
          </cell>
          <cell r="BA536">
            <v>1542.6</v>
          </cell>
          <cell r="BB536">
            <v>550</v>
          </cell>
          <cell r="BF536" t="str">
            <v>Ok</v>
          </cell>
        </row>
        <row r="537">
          <cell r="B537" t="str">
            <v>FOREVER PLUS CURRY</v>
          </cell>
          <cell r="R537">
            <v>227.48750000000001</v>
          </cell>
          <cell r="S537">
            <v>595.20000000000005</v>
          </cell>
          <cell r="T537">
            <v>18.100000000000001</v>
          </cell>
          <cell r="U537">
            <v>0</v>
          </cell>
          <cell r="BA537">
            <v>613.30000000000007</v>
          </cell>
          <cell r="BB537">
            <v>480</v>
          </cell>
          <cell r="BF537" t="str">
            <v>Resurtir</v>
          </cell>
        </row>
        <row r="538">
          <cell r="B538" t="str">
            <v>FOREVER PLUS DOVE</v>
          </cell>
          <cell r="R538">
            <v>88.574999999999989</v>
          </cell>
          <cell r="S538">
            <v>227.9</v>
          </cell>
          <cell r="T538">
            <v>40.25</v>
          </cell>
          <cell r="U538">
            <v>774.5</v>
          </cell>
          <cell r="BA538">
            <v>1042.6500000000001</v>
          </cell>
          <cell r="BB538">
            <v>150</v>
          </cell>
          <cell r="BF538" t="str">
            <v>Ok</v>
          </cell>
        </row>
        <row r="539">
          <cell r="B539" t="str">
            <v>FOREVER PLUS GREY</v>
          </cell>
          <cell r="R539">
            <v>156.17500000000001</v>
          </cell>
          <cell r="S539">
            <v>639.9</v>
          </cell>
          <cell r="T539">
            <v>30.1</v>
          </cell>
          <cell r="U539">
            <v>0</v>
          </cell>
          <cell r="BA539">
            <v>1470</v>
          </cell>
          <cell r="BB539">
            <v>940</v>
          </cell>
          <cell r="BF539" t="str">
            <v>Ok</v>
          </cell>
        </row>
        <row r="540">
          <cell r="B540" t="str">
            <v>FOREVER PLUS MIDNIGHT</v>
          </cell>
          <cell r="R540">
            <v>111.02500000000001</v>
          </cell>
          <cell r="S540">
            <v>283.7</v>
          </cell>
          <cell r="T540">
            <v>14</v>
          </cell>
          <cell r="U540">
            <v>775.2</v>
          </cell>
          <cell r="BA540">
            <v>1072.9000000000001</v>
          </cell>
          <cell r="BB540">
            <v>280</v>
          </cell>
          <cell r="BF540" t="str">
            <v>Ok</v>
          </cell>
        </row>
        <row r="541">
          <cell r="B541" t="str">
            <v>FOREVER PLUS MOSS</v>
          </cell>
          <cell r="R541">
            <v>792.61249999999995</v>
          </cell>
          <cell r="S541">
            <v>131.4</v>
          </cell>
          <cell r="T541">
            <v>31.2</v>
          </cell>
          <cell r="U541">
            <v>833</v>
          </cell>
          <cell r="BA541">
            <v>3470.6</v>
          </cell>
          <cell r="BB541">
            <v>1900</v>
          </cell>
          <cell r="BF541" t="str">
            <v>Resurtir</v>
          </cell>
        </row>
        <row r="542">
          <cell r="B542" t="str">
            <v>FOREVER PLUS PARCHMENT</v>
          </cell>
          <cell r="R542">
            <v>377.84999999999997</v>
          </cell>
          <cell r="S542">
            <v>755.8</v>
          </cell>
          <cell r="T542">
            <v>52.5</v>
          </cell>
          <cell r="U542">
            <v>838.7</v>
          </cell>
          <cell r="BA542">
            <v>2447</v>
          </cell>
          <cell r="BB542">
            <v>710</v>
          </cell>
          <cell r="BF542" t="str">
            <v>Ok</v>
          </cell>
        </row>
        <row r="543">
          <cell r="B543" t="str">
            <v>FOREVER PLUS TERRA</v>
          </cell>
          <cell r="R543">
            <v>212.57500000000002</v>
          </cell>
          <cell r="S543">
            <v>831.2</v>
          </cell>
          <cell r="T543">
            <v>6.7</v>
          </cell>
          <cell r="U543">
            <v>0</v>
          </cell>
          <cell r="BA543">
            <v>837.90000000000009</v>
          </cell>
          <cell r="BB543">
            <v>430</v>
          </cell>
          <cell r="BF543" t="str">
            <v>Resurtir</v>
          </cell>
        </row>
        <row r="544">
          <cell r="B544" t="str">
            <v>FOREVER PLUS WALNUT</v>
          </cell>
          <cell r="R544">
            <v>25.625</v>
          </cell>
          <cell r="S544">
            <v>733.3</v>
          </cell>
          <cell r="T544">
            <v>5.3</v>
          </cell>
          <cell r="U544">
            <v>0</v>
          </cell>
          <cell r="BA544">
            <v>738.59999999999991</v>
          </cell>
          <cell r="BB544">
            <v>0</v>
          </cell>
          <cell r="BF544" t="str">
            <v>Ok</v>
          </cell>
        </row>
        <row r="545">
          <cell r="B545" t="str">
            <v>FOREVER WALNUT</v>
          </cell>
          <cell r="R545">
            <v>1.5249999999999999</v>
          </cell>
          <cell r="S545">
            <v>48.08</v>
          </cell>
          <cell r="T545">
            <v>15.53</v>
          </cell>
          <cell r="U545">
            <v>0</v>
          </cell>
          <cell r="BA545">
            <v>63.61</v>
          </cell>
          <cell r="BB545">
            <v>0</v>
          </cell>
          <cell r="BF545" t="str">
            <v>Ok</v>
          </cell>
        </row>
        <row r="546">
          <cell r="B546" t="str">
            <v>FREEPORT MIST</v>
          </cell>
          <cell r="R546">
            <v>7.6</v>
          </cell>
          <cell r="S546">
            <v>216.8</v>
          </cell>
          <cell r="T546">
            <v>0</v>
          </cell>
          <cell r="U546">
            <v>0</v>
          </cell>
          <cell r="BA546">
            <v>216.8</v>
          </cell>
          <cell r="BB546">
            <v>0</v>
          </cell>
          <cell r="BF546" t="str">
            <v>Ok</v>
          </cell>
        </row>
        <row r="547">
          <cell r="B547" t="str">
            <v>FREEPORT ONYX</v>
          </cell>
          <cell r="R547">
            <v>2.1749999999999998</v>
          </cell>
          <cell r="S547">
            <v>51.4</v>
          </cell>
          <cell r="T547">
            <v>26.7</v>
          </cell>
          <cell r="U547">
            <v>0</v>
          </cell>
          <cell r="BA547">
            <v>78.099999999999994</v>
          </cell>
          <cell r="BB547">
            <v>0</v>
          </cell>
          <cell r="BF547" t="str">
            <v>Ok</v>
          </cell>
        </row>
        <row r="548">
          <cell r="B548" t="str">
            <v>FREEPORT PEWTER</v>
          </cell>
          <cell r="R548">
            <v>6.875</v>
          </cell>
          <cell r="S548">
            <v>259.10000000000002</v>
          </cell>
          <cell r="T548">
            <v>13</v>
          </cell>
          <cell r="U548">
            <v>0</v>
          </cell>
          <cell r="BA548">
            <v>272.10000000000002</v>
          </cell>
          <cell r="BB548">
            <v>0</v>
          </cell>
          <cell r="BF548" t="str">
            <v>Ok</v>
          </cell>
        </row>
        <row r="549">
          <cell r="B549" t="str">
            <v>FRESH DENIM</v>
          </cell>
          <cell r="R549">
            <v>0</v>
          </cell>
          <cell r="S549">
            <v>521.20000000000005</v>
          </cell>
          <cell r="T549">
            <v>6.35</v>
          </cell>
          <cell r="U549">
            <v>0</v>
          </cell>
          <cell r="BA549">
            <v>527.55000000000007</v>
          </cell>
          <cell r="BB549">
            <v>0</v>
          </cell>
          <cell r="BF549" t="str">
            <v>Ok</v>
          </cell>
        </row>
        <row r="550">
          <cell r="B550" t="str">
            <v>FRESH FLAX</v>
          </cell>
          <cell r="R550">
            <v>493.92500000000007</v>
          </cell>
          <cell r="S550">
            <v>517.4</v>
          </cell>
          <cell r="T550">
            <v>64.5</v>
          </cell>
          <cell r="U550">
            <v>0</v>
          </cell>
          <cell r="BA550">
            <v>2127.9</v>
          </cell>
          <cell r="BB550">
            <v>1300</v>
          </cell>
          <cell r="BF550" t="str">
            <v>Resurtir</v>
          </cell>
        </row>
        <row r="551">
          <cell r="B551" t="str">
            <v>FRESNO CHARCOAL</v>
          </cell>
          <cell r="R551">
            <v>5.6749999999999998</v>
          </cell>
          <cell r="S551">
            <v>1736</v>
          </cell>
          <cell r="T551">
            <v>0</v>
          </cell>
          <cell r="U551">
            <v>0</v>
          </cell>
          <cell r="BA551">
            <v>1736</v>
          </cell>
          <cell r="BB551">
            <v>0</v>
          </cell>
          <cell r="BF551" t="str">
            <v>Ok</v>
          </cell>
        </row>
        <row r="552">
          <cell r="B552" t="str">
            <v>FRESNO OYSTER</v>
          </cell>
          <cell r="R552">
            <v>6.375</v>
          </cell>
          <cell r="S552">
            <v>1533</v>
          </cell>
          <cell r="T552">
            <v>0</v>
          </cell>
          <cell r="U552">
            <v>0</v>
          </cell>
          <cell r="BA552">
            <v>1533</v>
          </cell>
          <cell r="BB552">
            <v>0</v>
          </cell>
          <cell r="BF552" t="str">
            <v>Ok</v>
          </cell>
        </row>
        <row r="553">
          <cell r="B553" t="str">
            <v>FRIDA BITTER</v>
          </cell>
          <cell r="R553">
            <v>17.75</v>
          </cell>
          <cell r="S553">
            <v>0</v>
          </cell>
          <cell r="T553">
            <v>10</v>
          </cell>
          <cell r="U553">
            <v>0</v>
          </cell>
          <cell r="BA553">
            <v>210</v>
          </cell>
          <cell r="BB553">
            <v>0</v>
          </cell>
          <cell r="BF553" t="str">
            <v>Ok</v>
          </cell>
        </row>
        <row r="554">
          <cell r="B554" t="str">
            <v>FRIDA ECRU</v>
          </cell>
          <cell r="R554">
            <v>0</v>
          </cell>
          <cell r="S554">
            <v>381.6</v>
          </cell>
          <cell r="T554">
            <v>26.8</v>
          </cell>
          <cell r="U554">
            <v>0</v>
          </cell>
          <cell r="BA554">
            <v>408.40000000000003</v>
          </cell>
          <cell r="BB554">
            <v>0</v>
          </cell>
          <cell r="BF554" t="str">
            <v>Ok</v>
          </cell>
        </row>
        <row r="555">
          <cell r="B555" t="str">
            <v>FRIDA FLAX</v>
          </cell>
          <cell r="R555">
            <v>0</v>
          </cell>
          <cell r="S555">
            <v>180</v>
          </cell>
          <cell r="T555">
            <v>5.4</v>
          </cell>
          <cell r="U555">
            <v>0</v>
          </cell>
          <cell r="BA555">
            <v>185.4</v>
          </cell>
          <cell r="BB555">
            <v>0</v>
          </cell>
          <cell r="BF555" t="str">
            <v>Ok</v>
          </cell>
        </row>
        <row r="556">
          <cell r="B556" t="str">
            <v>FRIDA IVORY</v>
          </cell>
          <cell r="R556">
            <v>40.375</v>
          </cell>
          <cell r="S556">
            <v>213.95</v>
          </cell>
          <cell r="T556">
            <v>13.5</v>
          </cell>
          <cell r="U556">
            <v>0</v>
          </cell>
          <cell r="BA556">
            <v>677.45</v>
          </cell>
          <cell r="BB556">
            <v>100</v>
          </cell>
          <cell r="BF556" t="str">
            <v>Ok</v>
          </cell>
        </row>
        <row r="557">
          <cell r="B557" t="str">
            <v>FURSONA GINGER</v>
          </cell>
          <cell r="R557">
            <v>63.150000000000006</v>
          </cell>
          <cell r="S557">
            <v>391.7</v>
          </cell>
          <cell r="T557">
            <v>0</v>
          </cell>
          <cell r="U557">
            <v>0</v>
          </cell>
          <cell r="BA557">
            <v>391.7</v>
          </cell>
          <cell r="BB557">
            <v>150</v>
          </cell>
          <cell r="BF557" t="str">
            <v>Ok</v>
          </cell>
        </row>
        <row r="558">
          <cell r="B558" t="str">
            <v>FURSONA MARBLE</v>
          </cell>
          <cell r="R558">
            <v>8.625</v>
          </cell>
          <cell r="S558">
            <v>221.7</v>
          </cell>
          <cell r="T558">
            <v>0</v>
          </cell>
          <cell r="U558">
            <v>206.5</v>
          </cell>
          <cell r="BA558">
            <v>428.2</v>
          </cell>
          <cell r="BB558">
            <v>80</v>
          </cell>
          <cell r="BF558" t="str">
            <v>Ok</v>
          </cell>
        </row>
        <row r="559">
          <cell r="B559" t="str">
            <v>FURSONA PEARL</v>
          </cell>
          <cell r="R559">
            <v>14.9</v>
          </cell>
          <cell r="S559">
            <v>240.5</v>
          </cell>
          <cell r="T559">
            <v>12.7</v>
          </cell>
          <cell r="U559">
            <v>207.4</v>
          </cell>
          <cell r="BA559">
            <v>460.6</v>
          </cell>
          <cell r="BB559">
            <v>0</v>
          </cell>
          <cell r="BF559" t="str">
            <v>Ok</v>
          </cell>
        </row>
        <row r="560">
          <cell r="B560" t="str">
            <v>FURSONA TABBY</v>
          </cell>
          <cell r="R560">
            <v>36.674999999999997</v>
          </cell>
          <cell r="S560">
            <v>263.5</v>
          </cell>
          <cell r="T560">
            <v>23.6</v>
          </cell>
          <cell r="U560">
            <v>174.8</v>
          </cell>
          <cell r="BA560">
            <v>461.90000000000003</v>
          </cell>
          <cell r="BB560">
            <v>0</v>
          </cell>
          <cell r="BF560" t="str">
            <v>Ok</v>
          </cell>
        </row>
        <row r="561">
          <cell r="B561" t="str">
            <v>GALASSIA DOMINO</v>
          </cell>
          <cell r="R561">
            <v>1</v>
          </cell>
          <cell r="S561">
            <v>31.1</v>
          </cell>
          <cell r="T561">
            <v>16.7</v>
          </cell>
          <cell r="U561">
            <v>0</v>
          </cell>
          <cell r="BA561">
            <v>47.8</v>
          </cell>
          <cell r="BB561">
            <v>0</v>
          </cell>
          <cell r="BF561" t="str">
            <v>Ok</v>
          </cell>
        </row>
        <row r="562">
          <cell r="B562" t="str">
            <v>GELLAR COTTON</v>
          </cell>
          <cell r="R562">
            <v>48.05</v>
          </cell>
          <cell r="S562">
            <v>518.29999999999995</v>
          </cell>
          <cell r="T562">
            <v>25.9</v>
          </cell>
          <cell r="U562">
            <v>0</v>
          </cell>
          <cell r="BA562">
            <v>544.19999999999993</v>
          </cell>
          <cell r="BB562">
            <v>150</v>
          </cell>
          <cell r="BF562" t="str">
            <v>Ok</v>
          </cell>
        </row>
        <row r="563">
          <cell r="B563" t="str">
            <v>GELLAR EARTH</v>
          </cell>
          <cell r="R563">
            <v>3.6749999999999998</v>
          </cell>
          <cell r="S563">
            <v>247.5</v>
          </cell>
          <cell r="T563">
            <v>5.6</v>
          </cell>
          <cell r="U563">
            <v>0</v>
          </cell>
          <cell r="BA563">
            <v>253.1</v>
          </cell>
          <cell r="BB563">
            <v>150</v>
          </cell>
          <cell r="BF563" t="str">
            <v>Ok</v>
          </cell>
        </row>
        <row r="564">
          <cell r="B564" t="str">
            <v>GELLAR JUTE</v>
          </cell>
          <cell r="R564">
            <v>109.4</v>
          </cell>
          <cell r="S564">
            <v>381.1</v>
          </cell>
          <cell r="T564">
            <v>45.1</v>
          </cell>
          <cell r="U564">
            <v>0</v>
          </cell>
          <cell r="BA564">
            <v>1026.2</v>
          </cell>
          <cell r="BB564">
            <v>150</v>
          </cell>
          <cell r="BF564" t="str">
            <v>Ok</v>
          </cell>
        </row>
        <row r="565">
          <cell r="B565" t="str">
            <v>GELLAR LINEN</v>
          </cell>
          <cell r="R565">
            <v>317.20999999999998</v>
          </cell>
          <cell r="S565">
            <v>1309.5999999999999</v>
          </cell>
          <cell r="T565">
            <v>31.7</v>
          </cell>
          <cell r="U565">
            <v>0</v>
          </cell>
          <cell r="BA565">
            <v>1341.3</v>
          </cell>
          <cell r="BB565">
            <v>900</v>
          </cell>
          <cell r="BF565" t="str">
            <v>Resurtir</v>
          </cell>
        </row>
        <row r="566">
          <cell r="B566" t="str">
            <v>GELLAR MARBLE</v>
          </cell>
          <cell r="R566">
            <v>402.07499999999999</v>
          </cell>
          <cell r="S566">
            <v>193.3</v>
          </cell>
          <cell r="T566">
            <v>31.3</v>
          </cell>
          <cell r="U566">
            <v>0</v>
          </cell>
          <cell r="BA566">
            <v>1646.6</v>
          </cell>
          <cell r="BB566">
            <v>1250</v>
          </cell>
          <cell r="BF566" t="str">
            <v>Resurtir</v>
          </cell>
        </row>
        <row r="567">
          <cell r="B567" t="str">
            <v>GENOVA BARK</v>
          </cell>
          <cell r="R567">
            <v>0.32500000000000001</v>
          </cell>
          <cell r="S567">
            <v>0</v>
          </cell>
          <cell r="T567">
            <v>44.4</v>
          </cell>
          <cell r="U567">
            <v>36</v>
          </cell>
          <cell r="BA567">
            <v>80.400000000000006</v>
          </cell>
          <cell r="BB567">
            <v>0</v>
          </cell>
          <cell r="BF567" t="str">
            <v>Ok</v>
          </cell>
        </row>
        <row r="568">
          <cell r="B568" t="str">
            <v>GENOVA BLACK</v>
          </cell>
          <cell r="R568">
            <v>47.35</v>
          </cell>
          <cell r="S568">
            <v>212.1</v>
          </cell>
          <cell r="T568">
            <v>38.6</v>
          </cell>
          <cell r="U568">
            <v>0</v>
          </cell>
          <cell r="BA568">
            <v>250.7</v>
          </cell>
          <cell r="BB568">
            <v>100</v>
          </cell>
          <cell r="BF568" t="str">
            <v>Ok</v>
          </cell>
        </row>
        <row r="569">
          <cell r="B569" t="str">
            <v>GENOVA ELECTRIC BLUE</v>
          </cell>
          <cell r="R569">
            <v>0</v>
          </cell>
          <cell r="S569">
            <v>65</v>
          </cell>
          <cell r="T569">
            <v>30.3</v>
          </cell>
          <cell r="U569">
            <v>0</v>
          </cell>
          <cell r="BA569">
            <v>95.3</v>
          </cell>
          <cell r="BB569">
            <v>0</v>
          </cell>
          <cell r="BF569" t="str">
            <v>Ok</v>
          </cell>
        </row>
        <row r="570">
          <cell r="B570" t="str">
            <v>GENOVA MAUVE</v>
          </cell>
          <cell r="R570">
            <v>17.700000000000003</v>
          </cell>
          <cell r="S570">
            <v>92.2</v>
          </cell>
          <cell r="T570">
            <v>16.899999999999999</v>
          </cell>
          <cell r="U570">
            <v>0</v>
          </cell>
          <cell r="BA570">
            <v>109.1</v>
          </cell>
          <cell r="BB570">
            <v>0</v>
          </cell>
          <cell r="BF570" t="str">
            <v>Ok</v>
          </cell>
        </row>
        <row r="571">
          <cell r="B571" t="str">
            <v>GENOVA MERCURY</v>
          </cell>
          <cell r="R571">
            <v>0.5</v>
          </cell>
          <cell r="S571">
            <v>164.4</v>
          </cell>
          <cell r="T571">
            <v>0</v>
          </cell>
          <cell r="U571">
            <v>37.799999999999997</v>
          </cell>
          <cell r="BA571">
            <v>202.2</v>
          </cell>
          <cell r="BB571">
            <v>0</v>
          </cell>
          <cell r="BF571" t="str">
            <v>Ok</v>
          </cell>
        </row>
        <row r="572">
          <cell r="B572" t="str">
            <v>GENOVA MIDNIGHT</v>
          </cell>
          <cell r="R572">
            <v>0</v>
          </cell>
          <cell r="S572">
            <v>110.2</v>
          </cell>
          <cell r="T572">
            <v>16</v>
          </cell>
          <cell r="U572">
            <v>0</v>
          </cell>
          <cell r="BA572">
            <v>126.2</v>
          </cell>
          <cell r="BB572">
            <v>0</v>
          </cell>
          <cell r="BF572" t="str">
            <v>Ok</v>
          </cell>
        </row>
        <row r="573">
          <cell r="B573" t="str">
            <v>GENOVA NAVY</v>
          </cell>
          <cell r="R573">
            <v>3.5</v>
          </cell>
          <cell r="S573">
            <v>30</v>
          </cell>
          <cell r="T573">
            <v>-11</v>
          </cell>
          <cell r="U573">
            <v>70.8</v>
          </cell>
          <cell r="BA573">
            <v>89.8</v>
          </cell>
          <cell r="BB573">
            <v>0</v>
          </cell>
          <cell r="BF573" t="str">
            <v>Ok</v>
          </cell>
        </row>
        <row r="574">
          <cell r="B574" t="str">
            <v>GENOVA SEAFOAM</v>
          </cell>
          <cell r="R574">
            <v>4.5</v>
          </cell>
          <cell r="S574">
            <v>57.4</v>
          </cell>
          <cell r="T574">
            <v>22.8</v>
          </cell>
          <cell r="U574">
            <v>0</v>
          </cell>
          <cell r="BA574">
            <v>80.2</v>
          </cell>
          <cell r="BB574">
            <v>0</v>
          </cell>
          <cell r="BF574" t="str">
            <v>Ok</v>
          </cell>
        </row>
        <row r="575">
          <cell r="B575" t="str">
            <v>GENOVA SEAGREEN</v>
          </cell>
          <cell r="R575">
            <v>0.52500000000000002</v>
          </cell>
          <cell r="S575">
            <v>58.7</v>
          </cell>
          <cell r="T575">
            <v>0</v>
          </cell>
          <cell r="U575">
            <v>70.3</v>
          </cell>
          <cell r="BA575">
            <v>129</v>
          </cell>
          <cell r="BB575">
            <v>0</v>
          </cell>
          <cell r="BF575" t="str">
            <v>Ok</v>
          </cell>
        </row>
        <row r="576">
          <cell r="B576" t="str">
            <v>GENOVA SERENITY</v>
          </cell>
          <cell r="R576">
            <v>27.575000000000003</v>
          </cell>
          <cell r="S576">
            <v>28.3</v>
          </cell>
          <cell r="T576">
            <v>21.83</v>
          </cell>
          <cell r="U576">
            <v>0</v>
          </cell>
          <cell r="BA576">
            <v>130.13</v>
          </cell>
          <cell r="BB576">
            <v>0</v>
          </cell>
          <cell r="BF576" t="str">
            <v>Ok</v>
          </cell>
        </row>
        <row r="577">
          <cell r="B577" t="str">
            <v>GENOVA SILVER</v>
          </cell>
          <cell r="R577">
            <v>0.25</v>
          </cell>
          <cell r="S577">
            <v>71.099999999999994</v>
          </cell>
          <cell r="T577">
            <v>33.299999999999997</v>
          </cell>
          <cell r="U577">
            <v>0</v>
          </cell>
          <cell r="BA577">
            <v>104.39999999999999</v>
          </cell>
          <cell r="BB577">
            <v>0</v>
          </cell>
          <cell r="BF577" t="str">
            <v>Ok</v>
          </cell>
        </row>
        <row r="578">
          <cell r="B578" t="str">
            <v>GENOVA TOPAZ</v>
          </cell>
          <cell r="R578">
            <v>5.125</v>
          </cell>
          <cell r="S578">
            <v>34.200000000000003</v>
          </cell>
          <cell r="T578">
            <v>32.1</v>
          </cell>
          <cell r="U578">
            <v>156.69999999999999</v>
          </cell>
          <cell r="BA578">
            <v>223</v>
          </cell>
          <cell r="BB578">
            <v>0</v>
          </cell>
          <cell r="BF578" t="str">
            <v>Ok</v>
          </cell>
        </row>
        <row r="579">
          <cell r="B579" t="str">
            <v>GENOVA VINTAGE</v>
          </cell>
          <cell r="R579">
            <v>6.3</v>
          </cell>
          <cell r="S579">
            <v>88.5</v>
          </cell>
          <cell r="T579">
            <v>28</v>
          </cell>
          <cell r="U579">
            <v>0</v>
          </cell>
          <cell r="BA579">
            <v>116.5</v>
          </cell>
          <cell r="BB579">
            <v>0</v>
          </cell>
          <cell r="BF579" t="str">
            <v>Ok</v>
          </cell>
        </row>
        <row r="580">
          <cell r="B580" t="str">
            <v>GENOVA VIOLET</v>
          </cell>
          <cell r="R580">
            <v>5.5</v>
          </cell>
          <cell r="S580">
            <v>22</v>
          </cell>
          <cell r="T580">
            <v>23.5</v>
          </cell>
          <cell r="U580">
            <v>108</v>
          </cell>
          <cell r="BA580">
            <v>153.5</v>
          </cell>
          <cell r="BB580">
            <v>0</v>
          </cell>
          <cell r="BF580" t="str">
            <v>Ok</v>
          </cell>
        </row>
        <row r="581">
          <cell r="B581" t="str">
            <v>GENOVA WHITE</v>
          </cell>
          <cell r="R581">
            <v>1.25</v>
          </cell>
          <cell r="S581">
            <v>68.400000000000006</v>
          </cell>
          <cell r="T581">
            <v>0</v>
          </cell>
          <cell r="U581">
            <v>36</v>
          </cell>
          <cell r="BA581">
            <v>139.4</v>
          </cell>
          <cell r="BB581">
            <v>0</v>
          </cell>
          <cell r="BF581" t="str">
            <v>Ok</v>
          </cell>
        </row>
        <row r="582">
          <cell r="B582" t="str">
            <v>GEORGES ARMY GREEN</v>
          </cell>
          <cell r="R582">
            <v>23.39</v>
          </cell>
          <cell r="S582">
            <v>181</v>
          </cell>
          <cell r="T582">
            <v>23.15</v>
          </cell>
          <cell r="U582">
            <v>219.5</v>
          </cell>
          <cell r="BA582">
            <v>423.65</v>
          </cell>
          <cell r="BB582">
            <v>0</v>
          </cell>
          <cell r="BF582" t="str">
            <v>Ok</v>
          </cell>
        </row>
        <row r="583">
          <cell r="B583" t="str">
            <v>GEORGES CORAL</v>
          </cell>
          <cell r="R583">
            <v>24.1</v>
          </cell>
          <cell r="S583">
            <v>69.7</v>
          </cell>
          <cell r="T583">
            <v>26.1</v>
          </cell>
          <cell r="U583">
            <v>0</v>
          </cell>
          <cell r="BA583">
            <v>95.800000000000011</v>
          </cell>
          <cell r="BB583">
            <v>150</v>
          </cell>
          <cell r="BF583" t="str">
            <v>Resurtir</v>
          </cell>
        </row>
        <row r="584">
          <cell r="B584" t="str">
            <v>GEORGES CURRY</v>
          </cell>
          <cell r="R584">
            <v>44.2</v>
          </cell>
          <cell r="S584">
            <v>72.099999999999994</v>
          </cell>
          <cell r="T584">
            <v>26.8</v>
          </cell>
          <cell r="U584">
            <v>0</v>
          </cell>
          <cell r="BA584">
            <v>148.89999999999998</v>
          </cell>
          <cell r="BB584">
            <v>150</v>
          </cell>
          <cell r="BF584" t="str">
            <v>Resurtir</v>
          </cell>
        </row>
        <row r="585">
          <cell r="B585" t="str">
            <v>GEORGES EBONY</v>
          </cell>
          <cell r="R585">
            <v>20.7</v>
          </cell>
          <cell r="S585">
            <v>206.9</v>
          </cell>
          <cell r="T585">
            <v>27.6</v>
          </cell>
          <cell r="U585">
            <v>0</v>
          </cell>
          <cell r="BA585">
            <v>234.5</v>
          </cell>
          <cell r="BB585">
            <v>0</v>
          </cell>
          <cell r="BF585" t="str">
            <v>Ok</v>
          </cell>
        </row>
        <row r="586">
          <cell r="B586" t="str">
            <v>GEORGES IVORY</v>
          </cell>
          <cell r="R586">
            <v>37.774999999999999</v>
          </cell>
          <cell r="S586">
            <v>137.30000000000001</v>
          </cell>
          <cell r="T586">
            <v>9.6999999999999993</v>
          </cell>
          <cell r="U586">
            <v>0</v>
          </cell>
          <cell r="BA586">
            <v>147</v>
          </cell>
          <cell r="BB586">
            <v>200</v>
          </cell>
          <cell r="BF586" t="str">
            <v>Resurtir</v>
          </cell>
        </row>
        <row r="587">
          <cell r="B587" t="str">
            <v>GEORGES MELLOW PEACH</v>
          </cell>
          <cell r="R587">
            <v>8.8000000000000007</v>
          </cell>
          <cell r="S587">
            <v>62.1</v>
          </cell>
          <cell r="T587">
            <v>5.8</v>
          </cell>
          <cell r="U587">
            <v>0</v>
          </cell>
          <cell r="BA587">
            <v>67.900000000000006</v>
          </cell>
          <cell r="BB587">
            <v>150</v>
          </cell>
          <cell r="BF587" t="str">
            <v>Resurtir</v>
          </cell>
        </row>
        <row r="588">
          <cell r="B588" t="str">
            <v>GEORGES MERCURY</v>
          </cell>
          <cell r="R588">
            <v>2.15</v>
          </cell>
          <cell r="S588">
            <v>91.3</v>
          </cell>
          <cell r="T588">
            <v>13.85</v>
          </cell>
          <cell r="U588">
            <v>72.5</v>
          </cell>
          <cell r="BA588">
            <v>177.64999999999998</v>
          </cell>
          <cell r="BB588">
            <v>0</v>
          </cell>
          <cell r="BF588" t="str">
            <v>Ok</v>
          </cell>
        </row>
        <row r="589">
          <cell r="B589" t="str">
            <v>GEORGES MINT GREEN</v>
          </cell>
          <cell r="R589">
            <v>30.6</v>
          </cell>
          <cell r="S589">
            <v>136</v>
          </cell>
          <cell r="T589">
            <v>18.8</v>
          </cell>
          <cell r="U589">
            <v>0</v>
          </cell>
          <cell r="BA589">
            <v>154.80000000000001</v>
          </cell>
          <cell r="BB589">
            <v>0</v>
          </cell>
          <cell r="BF589" t="str">
            <v>Ok</v>
          </cell>
        </row>
        <row r="590">
          <cell r="B590" t="str">
            <v>GEORGES MYSTIC GREEN</v>
          </cell>
          <cell r="R590">
            <v>13.725</v>
          </cell>
          <cell r="S590">
            <v>57.6</v>
          </cell>
          <cell r="T590">
            <v>5.5</v>
          </cell>
          <cell r="U590">
            <v>101.3</v>
          </cell>
          <cell r="BA590">
            <v>164.4</v>
          </cell>
          <cell r="BB590">
            <v>0</v>
          </cell>
          <cell r="BF590" t="str">
            <v>Ok</v>
          </cell>
        </row>
        <row r="591">
          <cell r="B591" t="str">
            <v>GEORGES NAVY</v>
          </cell>
          <cell r="R591">
            <v>32.799999999999997</v>
          </cell>
          <cell r="S591">
            <v>108</v>
          </cell>
          <cell r="T591">
            <v>17.5</v>
          </cell>
          <cell r="U591">
            <v>71.400000000000006</v>
          </cell>
          <cell r="BA591">
            <v>196.9</v>
          </cell>
          <cell r="BB591">
            <v>0</v>
          </cell>
          <cell r="BF591" t="str">
            <v>Ok</v>
          </cell>
        </row>
        <row r="592">
          <cell r="B592" t="str">
            <v>GEORGES PLATINUM</v>
          </cell>
          <cell r="R592">
            <v>11.75</v>
          </cell>
          <cell r="S592">
            <v>56.9</v>
          </cell>
          <cell r="T592">
            <v>36.4</v>
          </cell>
          <cell r="U592">
            <v>107.7</v>
          </cell>
          <cell r="BA592">
            <v>201</v>
          </cell>
          <cell r="BB592">
            <v>0</v>
          </cell>
          <cell r="BF592" t="str">
            <v>Ok</v>
          </cell>
        </row>
        <row r="593">
          <cell r="B593" t="str">
            <v>GEORGES PORCELAIN</v>
          </cell>
          <cell r="R593">
            <v>26.575000000000003</v>
          </cell>
          <cell r="S593">
            <v>88.4</v>
          </cell>
          <cell r="T593">
            <v>12</v>
          </cell>
          <cell r="U593">
            <v>109.4</v>
          </cell>
          <cell r="BA593">
            <v>283.8</v>
          </cell>
          <cell r="BB593">
            <v>50</v>
          </cell>
          <cell r="BF593" t="str">
            <v>Ok</v>
          </cell>
        </row>
        <row r="594">
          <cell r="B594" t="str">
            <v>GEORGES RED PEAR</v>
          </cell>
          <cell r="R594">
            <v>0.5</v>
          </cell>
          <cell r="S594">
            <v>179.4</v>
          </cell>
          <cell r="T594">
            <v>17</v>
          </cell>
          <cell r="U594">
            <v>66.099999999999994</v>
          </cell>
          <cell r="BA594">
            <v>262.5</v>
          </cell>
          <cell r="BB594">
            <v>0</v>
          </cell>
          <cell r="BF594" t="str">
            <v>Ok</v>
          </cell>
        </row>
        <row r="595">
          <cell r="B595" t="str">
            <v>GEORGES ROBUST GREY</v>
          </cell>
          <cell r="R595">
            <v>27.949999999999996</v>
          </cell>
          <cell r="S595">
            <v>199.7</v>
          </cell>
          <cell r="T595">
            <v>19.7</v>
          </cell>
          <cell r="U595">
            <v>36.200000000000003</v>
          </cell>
          <cell r="BA595">
            <v>255.59999999999997</v>
          </cell>
          <cell r="BB595">
            <v>0</v>
          </cell>
          <cell r="BF595" t="str">
            <v>Ok</v>
          </cell>
        </row>
        <row r="596">
          <cell r="B596" t="str">
            <v>GEORGES SPICE</v>
          </cell>
          <cell r="R596">
            <v>26.567499999999995</v>
          </cell>
          <cell r="S596">
            <v>77.2</v>
          </cell>
          <cell r="T596">
            <v>39.700000000000003</v>
          </cell>
          <cell r="U596">
            <v>36.5</v>
          </cell>
          <cell r="BA596">
            <v>153.4</v>
          </cell>
          <cell r="BB596">
            <v>0</v>
          </cell>
          <cell r="BF596" t="str">
            <v>Ok</v>
          </cell>
        </row>
        <row r="597">
          <cell r="B597" t="str">
            <v>GIOVE CURRY</v>
          </cell>
          <cell r="R597">
            <v>0.3</v>
          </cell>
          <cell r="S597">
            <v>162.4</v>
          </cell>
          <cell r="T597">
            <v>0</v>
          </cell>
          <cell r="U597">
            <v>0</v>
          </cell>
          <cell r="BA597">
            <v>162.4</v>
          </cell>
          <cell r="BB597">
            <v>0</v>
          </cell>
          <cell r="BF597" t="str">
            <v>Ok</v>
          </cell>
        </row>
        <row r="598">
          <cell r="B598" t="str">
            <v>GLOW CREAM</v>
          </cell>
          <cell r="R598">
            <v>183.17500000000001</v>
          </cell>
          <cell r="S598">
            <v>833</v>
          </cell>
          <cell r="T598">
            <v>15.5</v>
          </cell>
          <cell r="U598">
            <v>0</v>
          </cell>
          <cell r="BA598">
            <v>1548.5</v>
          </cell>
          <cell r="BB598">
            <v>500</v>
          </cell>
          <cell r="BF598" t="str">
            <v>Ok</v>
          </cell>
        </row>
        <row r="599">
          <cell r="B599" t="str">
            <v>GLOW EBONY</v>
          </cell>
          <cell r="R599">
            <v>91.35</v>
          </cell>
          <cell r="S599">
            <v>633.29999999999995</v>
          </cell>
          <cell r="T599">
            <v>29.4</v>
          </cell>
          <cell r="U599">
            <v>0</v>
          </cell>
          <cell r="BA599">
            <v>662.69999999999993</v>
          </cell>
          <cell r="BB599">
            <v>0</v>
          </cell>
          <cell r="BF599" t="str">
            <v>Ok</v>
          </cell>
        </row>
        <row r="600">
          <cell r="B600" t="str">
            <v>GLOW GREY</v>
          </cell>
          <cell r="R600">
            <v>264.125</v>
          </cell>
          <cell r="S600">
            <v>922.8</v>
          </cell>
          <cell r="T600">
            <v>13.8</v>
          </cell>
          <cell r="U600">
            <v>1976.2</v>
          </cell>
          <cell r="BA600">
            <v>2912.8</v>
          </cell>
          <cell r="BB600">
            <v>0</v>
          </cell>
          <cell r="BF600" t="str">
            <v>Ok</v>
          </cell>
        </row>
        <row r="601">
          <cell r="B601" t="str">
            <v>GLOW IVORY</v>
          </cell>
          <cell r="R601">
            <v>32.375</v>
          </cell>
          <cell r="S601">
            <v>61.5</v>
          </cell>
          <cell r="T601">
            <v>0</v>
          </cell>
          <cell r="U601">
            <v>886.6</v>
          </cell>
          <cell r="BA601">
            <v>948.1</v>
          </cell>
          <cell r="BB601">
            <v>0</v>
          </cell>
          <cell r="BF601" t="str">
            <v>Ok</v>
          </cell>
        </row>
        <row r="602">
          <cell r="B602" t="str">
            <v>GLOW NICKEL</v>
          </cell>
          <cell r="R602">
            <v>19.125</v>
          </cell>
          <cell r="S602">
            <v>470.6</v>
          </cell>
          <cell r="T602">
            <v>34.5</v>
          </cell>
          <cell r="U602">
            <v>991.7</v>
          </cell>
          <cell r="BA602">
            <v>1496.8000000000002</v>
          </cell>
          <cell r="BB602">
            <v>0</v>
          </cell>
          <cell r="BF602" t="str">
            <v>Ok</v>
          </cell>
        </row>
        <row r="603">
          <cell r="B603" t="str">
            <v>GRANOLA ALMOND</v>
          </cell>
          <cell r="R603">
            <v>4.25</v>
          </cell>
          <cell r="S603">
            <v>119.6</v>
          </cell>
          <cell r="T603">
            <v>0</v>
          </cell>
          <cell r="U603">
            <v>2141.9</v>
          </cell>
          <cell r="BA603">
            <v>2261.5</v>
          </cell>
          <cell r="BB603">
            <v>0</v>
          </cell>
          <cell r="BF603" t="str">
            <v>Ok</v>
          </cell>
        </row>
        <row r="604">
          <cell r="B604" t="str">
            <v>GRANOLA COTTON</v>
          </cell>
          <cell r="R604">
            <v>75.275000000000006</v>
          </cell>
          <cell r="S604">
            <v>233</v>
          </cell>
          <cell r="T604">
            <v>6</v>
          </cell>
          <cell r="U604">
            <v>0</v>
          </cell>
          <cell r="BA604">
            <v>536</v>
          </cell>
          <cell r="BB604">
            <v>150</v>
          </cell>
          <cell r="BF604" t="str">
            <v>Ok</v>
          </cell>
        </row>
        <row r="605">
          <cell r="B605" t="str">
            <v>GRANOLA DOVE</v>
          </cell>
          <cell r="R605">
            <v>7.1750000000000007</v>
          </cell>
          <cell r="S605">
            <v>183.78</v>
          </cell>
          <cell r="T605">
            <v>9.9</v>
          </cell>
          <cell r="U605">
            <v>943.7</v>
          </cell>
          <cell r="BA605">
            <v>1137.3800000000001</v>
          </cell>
          <cell r="BB605">
            <v>0</v>
          </cell>
          <cell r="BF605" t="str">
            <v>Ok</v>
          </cell>
        </row>
        <row r="606">
          <cell r="B606" t="str">
            <v>GRANOLA PEBBLE</v>
          </cell>
          <cell r="R606">
            <v>25.799999999999997</v>
          </cell>
          <cell r="S606">
            <v>122.1</v>
          </cell>
          <cell r="T606">
            <v>0</v>
          </cell>
          <cell r="U606">
            <v>0</v>
          </cell>
          <cell r="BA606">
            <v>512.1</v>
          </cell>
          <cell r="BB606">
            <v>20</v>
          </cell>
          <cell r="BF606" t="str">
            <v>Ok</v>
          </cell>
        </row>
        <row r="607">
          <cell r="B607" t="str">
            <v>GRANOLA PUTTY</v>
          </cell>
          <cell r="R607">
            <v>58.875</v>
          </cell>
          <cell r="S607">
            <v>320.8</v>
          </cell>
          <cell r="T607">
            <v>34.6</v>
          </cell>
          <cell r="U607">
            <v>0</v>
          </cell>
          <cell r="BA607">
            <v>355.40000000000003</v>
          </cell>
          <cell r="BB607">
            <v>0</v>
          </cell>
          <cell r="BF607" t="str">
            <v>Ok</v>
          </cell>
        </row>
        <row r="608">
          <cell r="B608" t="str">
            <v>GRASSROOTS ALABASTER</v>
          </cell>
          <cell r="R608">
            <v>6.5</v>
          </cell>
          <cell r="S608">
            <v>222.9</v>
          </cell>
          <cell r="T608">
            <v>15.4</v>
          </cell>
          <cell r="U608">
            <v>0</v>
          </cell>
          <cell r="BA608">
            <v>238.3</v>
          </cell>
          <cell r="BB608">
            <v>0</v>
          </cell>
          <cell r="BF608" t="str">
            <v>Ok</v>
          </cell>
        </row>
        <row r="609">
          <cell r="B609" t="str">
            <v>HADY DENIM</v>
          </cell>
          <cell r="R609">
            <v>30.824999999999999</v>
          </cell>
          <cell r="S609">
            <v>93.65</v>
          </cell>
          <cell r="T609">
            <v>10.7</v>
          </cell>
          <cell r="U609">
            <v>0</v>
          </cell>
          <cell r="BA609">
            <v>717.35</v>
          </cell>
          <cell r="BB609">
            <v>50</v>
          </cell>
          <cell r="BF609" t="str">
            <v>Ok</v>
          </cell>
        </row>
        <row r="610">
          <cell r="B610" t="str">
            <v>HADY DOVE</v>
          </cell>
          <cell r="R610">
            <v>22</v>
          </cell>
          <cell r="S610">
            <v>473.3</v>
          </cell>
          <cell r="T610">
            <v>24.45</v>
          </cell>
          <cell r="U610">
            <v>0</v>
          </cell>
          <cell r="BA610">
            <v>497.75</v>
          </cell>
          <cell r="BB610">
            <v>0</v>
          </cell>
          <cell r="BF610" t="str">
            <v>Ok</v>
          </cell>
        </row>
        <row r="611">
          <cell r="B611" t="str">
            <v>HADY IVORY</v>
          </cell>
          <cell r="R611">
            <v>274.875</v>
          </cell>
          <cell r="S611">
            <v>158.6</v>
          </cell>
          <cell r="T611">
            <v>0</v>
          </cell>
          <cell r="U611">
            <v>715.3</v>
          </cell>
          <cell r="BA611">
            <v>1473.9</v>
          </cell>
          <cell r="BB611">
            <v>50</v>
          </cell>
          <cell r="BF611" t="str">
            <v>Ok</v>
          </cell>
        </row>
        <row r="612">
          <cell r="B612" t="str">
            <v>HADY LINEN</v>
          </cell>
          <cell r="R612">
            <v>167.6</v>
          </cell>
          <cell r="S612">
            <v>0</v>
          </cell>
          <cell r="T612">
            <v>27.8</v>
          </cell>
          <cell r="U612">
            <v>0</v>
          </cell>
          <cell r="BA612">
            <v>640.79999999999995</v>
          </cell>
          <cell r="BB612">
            <v>0</v>
          </cell>
          <cell r="BF612" t="str">
            <v>Resurtir</v>
          </cell>
        </row>
        <row r="613">
          <cell r="B613" t="str">
            <v>HADY PORCELAIN</v>
          </cell>
          <cell r="R613">
            <v>170.67500000000001</v>
          </cell>
          <cell r="S613">
            <v>920.5</v>
          </cell>
          <cell r="T613">
            <v>71.3</v>
          </cell>
          <cell r="U613">
            <v>52.6</v>
          </cell>
          <cell r="BA613">
            <v>1044.3999999999999</v>
          </cell>
          <cell r="BB613">
            <v>0</v>
          </cell>
          <cell r="BF613" t="str">
            <v>Ok</v>
          </cell>
        </row>
        <row r="614">
          <cell r="B614" t="str">
            <v>HADY TOFFE</v>
          </cell>
          <cell r="R614">
            <v>254.5</v>
          </cell>
          <cell r="S614">
            <v>897.6</v>
          </cell>
          <cell r="T614">
            <v>29.3</v>
          </cell>
          <cell r="U614">
            <v>0</v>
          </cell>
          <cell r="BA614">
            <v>1563.9</v>
          </cell>
          <cell r="BB614">
            <v>1100</v>
          </cell>
          <cell r="BF614" t="str">
            <v>Ok</v>
          </cell>
        </row>
        <row r="615">
          <cell r="B615" t="str">
            <v>HAILEY BISQUE</v>
          </cell>
          <cell r="R615">
            <v>43.524999999999999</v>
          </cell>
          <cell r="S615">
            <v>50.84</v>
          </cell>
          <cell r="T615">
            <v>28.03</v>
          </cell>
          <cell r="U615">
            <v>0</v>
          </cell>
          <cell r="BA615">
            <v>479.87</v>
          </cell>
          <cell r="BB615">
            <v>0</v>
          </cell>
          <cell r="BF615" t="str">
            <v>Ok</v>
          </cell>
        </row>
        <row r="616">
          <cell r="B616" t="str">
            <v>HAILEY BONE</v>
          </cell>
          <cell r="R616">
            <v>63.914999999999999</v>
          </cell>
          <cell r="S616">
            <v>50.11</v>
          </cell>
          <cell r="T616">
            <v>59.67</v>
          </cell>
          <cell r="U616">
            <v>0</v>
          </cell>
          <cell r="BA616">
            <v>458.78</v>
          </cell>
          <cell r="BB616">
            <v>0</v>
          </cell>
          <cell r="BF616" t="str">
            <v>Ok</v>
          </cell>
        </row>
        <row r="617">
          <cell r="B617" t="str">
            <v>HANG TEN DUNE</v>
          </cell>
          <cell r="R617">
            <v>4.75</v>
          </cell>
          <cell r="S617">
            <v>149.4</v>
          </cell>
          <cell r="T617">
            <v>0</v>
          </cell>
          <cell r="U617">
            <v>0</v>
          </cell>
          <cell r="BA617">
            <v>149.4</v>
          </cell>
          <cell r="BB617">
            <v>0</v>
          </cell>
          <cell r="BF617" t="str">
            <v>Ok</v>
          </cell>
        </row>
        <row r="618">
          <cell r="B618" t="str">
            <v>HANG TEN LINEN</v>
          </cell>
          <cell r="R618">
            <v>23.4</v>
          </cell>
          <cell r="S618">
            <v>104.3</v>
          </cell>
          <cell r="T618">
            <v>48.5</v>
          </cell>
          <cell r="U618">
            <v>0</v>
          </cell>
          <cell r="BA618">
            <v>152.80000000000001</v>
          </cell>
          <cell r="BB618">
            <v>0</v>
          </cell>
          <cell r="BF618" t="str">
            <v>Ok</v>
          </cell>
        </row>
        <row r="619">
          <cell r="B619" t="str">
            <v>HANK BONE</v>
          </cell>
          <cell r="R619">
            <v>140.32499999999999</v>
          </cell>
          <cell r="S619">
            <v>389</v>
          </cell>
          <cell r="T619">
            <v>15.2</v>
          </cell>
          <cell r="U619">
            <v>0</v>
          </cell>
          <cell r="BA619">
            <v>664.2</v>
          </cell>
          <cell r="BB619">
            <v>100</v>
          </cell>
          <cell r="BF619" t="str">
            <v>Ok</v>
          </cell>
        </row>
        <row r="620">
          <cell r="B620" t="str">
            <v>HANK BURNT CAMEL</v>
          </cell>
          <cell r="R620">
            <v>203.55</v>
          </cell>
          <cell r="S620">
            <v>648</v>
          </cell>
          <cell r="T620">
            <v>68.8</v>
          </cell>
          <cell r="U620">
            <v>3789</v>
          </cell>
          <cell r="BA620">
            <v>4505.8</v>
          </cell>
          <cell r="BB620">
            <v>520</v>
          </cell>
          <cell r="BF620" t="str">
            <v>Ok</v>
          </cell>
        </row>
        <row r="621">
          <cell r="B621" t="str">
            <v>HANK CARAMEL</v>
          </cell>
          <cell r="R621">
            <v>95.712500000000006</v>
          </cell>
          <cell r="S621">
            <v>271</v>
          </cell>
          <cell r="T621">
            <v>28.4</v>
          </cell>
          <cell r="U621">
            <v>0</v>
          </cell>
          <cell r="BA621">
            <v>299.39999999999998</v>
          </cell>
          <cell r="BB621">
            <v>50</v>
          </cell>
          <cell r="BF621" t="str">
            <v>Resurtir</v>
          </cell>
        </row>
        <row r="622">
          <cell r="B622" t="str">
            <v>HANK DAPPLE</v>
          </cell>
          <cell r="R622">
            <v>143.1875</v>
          </cell>
          <cell r="S622">
            <v>327</v>
          </cell>
          <cell r="T622">
            <v>23.15</v>
          </cell>
          <cell r="U622">
            <v>0</v>
          </cell>
          <cell r="BA622">
            <v>650.15</v>
          </cell>
          <cell r="BB622">
            <v>0</v>
          </cell>
          <cell r="BF622" t="str">
            <v>Ok</v>
          </cell>
        </row>
        <row r="623">
          <cell r="B623" t="str">
            <v>HANK GROUND COFFEE</v>
          </cell>
          <cell r="R623">
            <v>69.3</v>
          </cell>
          <cell r="S623">
            <v>270</v>
          </cell>
          <cell r="T623">
            <v>0</v>
          </cell>
          <cell r="U623">
            <v>30</v>
          </cell>
          <cell r="BA623">
            <v>325</v>
          </cell>
          <cell r="BB623">
            <v>100</v>
          </cell>
          <cell r="BF623" t="str">
            <v>Ok</v>
          </cell>
        </row>
        <row r="624">
          <cell r="B624" t="str">
            <v>HANK MINERAL</v>
          </cell>
          <cell r="R624">
            <v>98.875</v>
          </cell>
          <cell r="S624">
            <v>0</v>
          </cell>
          <cell r="T624">
            <v>6.5</v>
          </cell>
          <cell r="U624">
            <v>0</v>
          </cell>
          <cell r="BA624">
            <v>406.5</v>
          </cell>
          <cell r="BB624">
            <v>0</v>
          </cell>
          <cell r="BF624" t="str">
            <v>Resurtir</v>
          </cell>
        </row>
        <row r="625">
          <cell r="B625" t="str">
            <v>HANK PLUM</v>
          </cell>
          <cell r="R625">
            <v>56.4</v>
          </cell>
          <cell r="S625">
            <v>115</v>
          </cell>
          <cell r="T625">
            <v>5.5</v>
          </cell>
          <cell r="U625">
            <v>0</v>
          </cell>
          <cell r="BA625">
            <v>296.5</v>
          </cell>
          <cell r="BB625">
            <v>50</v>
          </cell>
          <cell r="BF625" t="str">
            <v>Ok</v>
          </cell>
        </row>
        <row r="626">
          <cell r="B626" t="str">
            <v>HANK ROBUST GREY</v>
          </cell>
          <cell r="R626">
            <v>200.82499999999999</v>
          </cell>
          <cell r="S626">
            <v>285</v>
          </cell>
          <cell r="T626">
            <v>16.5</v>
          </cell>
          <cell r="U626">
            <v>0</v>
          </cell>
          <cell r="BA626">
            <v>651.5</v>
          </cell>
          <cell r="BB626">
            <v>200</v>
          </cell>
          <cell r="BF626" t="str">
            <v>Resurtir</v>
          </cell>
        </row>
        <row r="627">
          <cell r="B627" t="str">
            <v>HANK SAGE GREEN</v>
          </cell>
          <cell r="R627">
            <v>394.19999999999993</v>
          </cell>
          <cell r="S627">
            <v>800</v>
          </cell>
          <cell r="T627">
            <v>67.2</v>
          </cell>
          <cell r="U627">
            <v>0</v>
          </cell>
          <cell r="BA627">
            <v>1939.2</v>
          </cell>
          <cell r="BB627">
            <v>610</v>
          </cell>
          <cell r="BF627" t="str">
            <v>Ok</v>
          </cell>
        </row>
        <row r="628">
          <cell r="B628" t="str">
            <v>HANK TRUFFLE</v>
          </cell>
          <cell r="R628">
            <v>22.5</v>
          </cell>
          <cell r="S628">
            <v>209</v>
          </cell>
          <cell r="T628">
            <v>20</v>
          </cell>
          <cell r="U628">
            <v>186</v>
          </cell>
          <cell r="BA628">
            <v>415</v>
          </cell>
          <cell r="BB628">
            <v>0</v>
          </cell>
          <cell r="BF628" t="str">
            <v>Ok</v>
          </cell>
        </row>
        <row r="629">
          <cell r="B629" t="str">
            <v>HARMONY CHARCOAL</v>
          </cell>
          <cell r="R629">
            <v>328.22499999999997</v>
          </cell>
          <cell r="S629">
            <v>952.8</v>
          </cell>
          <cell r="T629">
            <v>24.5</v>
          </cell>
          <cell r="U629">
            <v>0</v>
          </cell>
          <cell r="BA629">
            <v>1795.3</v>
          </cell>
          <cell r="BB629">
            <v>1450</v>
          </cell>
          <cell r="BF629" t="str">
            <v>Ok</v>
          </cell>
        </row>
        <row r="630">
          <cell r="B630" t="str">
            <v>HARMONY CREAM</v>
          </cell>
          <cell r="R630">
            <v>117.25</v>
          </cell>
          <cell r="S630">
            <v>140.69999999999999</v>
          </cell>
          <cell r="T630">
            <v>27.3</v>
          </cell>
          <cell r="U630">
            <v>0</v>
          </cell>
          <cell r="BA630">
            <v>968</v>
          </cell>
          <cell r="BB630">
            <v>150</v>
          </cell>
          <cell r="BF630" t="str">
            <v>Ok</v>
          </cell>
        </row>
        <row r="631">
          <cell r="B631" t="str">
            <v>HARMONY FLAX</v>
          </cell>
          <cell r="R631">
            <v>415.04999999999995</v>
          </cell>
          <cell r="S631">
            <v>1922.9</v>
          </cell>
          <cell r="T631">
            <v>11.7</v>
          </cell>
          <cell r="U631">
            <v>0</v>
          </cell>
          <cell r="BA631">
            <v>2743.6000000000004</v>
          </cell>
          <cell r="BB631">
            <v>1700</v>
          </cell>
          <cell r="BF631" t="str">
            <v>Ok</v>
          </cell>
        </row>
        <row r="632">
          <cell r="B632" t="str">
            <v>HARMONY GREY</v>
          </cell>
          <cell r="R632">
            <v>1.325</v>
          </cell>
          <cell r="S632">
            <v>0</v>
          </cell>
          <cell r="T632">
            <v>13.5</v>
          </cell>
          <cell r="U632">
            <v>0</v>
          </cell>
          <cell r="BA632">
            <v>13.5</v>
          </cell>
          <cell r="BB632">
            <v>150</v>
          </cell>
          <cell r="BF632" t="str">
            <v>Resurtir</v>
          </cell>
        </row>
        <row r="633">
          <cell r="B633" t="str">
            <v>HARMONY SILVER</v>
          </cell>
          <cell r="R633">
            <v>8.25</v>
          </cell>
          <cell r="S633">
            <v>797.8</v>
          </cell>
          <cell r="T633">
            <v>23.8</v>
          </cell>
          <cell r="U633">
            <v>0</v>
          </cell>
          <cell r="BA633">
            <v>821.59999999999991</v>
          </cell>
          <cell r="BB633">
            <v>100</v>
          </cell>
          <cell r="BF633" t="str">
            <v>Ok</v>
          </cell>
        </row>
        <row r="634">
          <cell r="B634" t="str">
            <v>HARMONY TAUPE</v>
          </cell>
          <cell r="R634">
            <v>0</v>
          </cell>
          <cell r="S634">
            <v>1036.5</v>
          </cell>
          <cell r="T634">
            <v>5.8</v>
          </cell>
          <cell r="U634">
            <v>0</v>
          </cell>
          <cell r="BA634">
            <v>1042.3</v>
          </cell>
          <cell r="BB634">
            <v>0</v>
          </cell>
          <cell r="BF634" t="str">
            <v>Ok</v>
          </cell>
        </row>
        <row r="635">
          <cell r="B635" t="str">
            <v>HARMONY TITANIUM</v>
          </cell>
          <cell r="R635">
            <v>158.47500000000002</v>
          </cell>
          <cell r="S635">
            <v>664.4</v>
          </cell>
          <cell r="T635">
            <v>78.8</v>
          </cell>
          <cell r="U635">
            <v>0</v>
          </cell>
          <cell r="BA635">
            <v>743.19999999999993</v>
          </cell>
          <cell r="BB635">
            <v>1800</v>
          </cell>
          <cell r="BF635" t="str">
            <v>Resurtir</v>
          </cell>
        </row>
        <row r="636">
          <cell r="B636" t="str">
            <v>HELSINKI BLACK</v>
          </cell>
          <cell r="R636">
            <v>134.65</v>
          </cell>
          <cell r="S636">
            <v>827.3</v>
          </cell>
          <cell r="T636">
            <v>0</v>
          </cell>
          <cell r="U636">
            <v>0</v>
          </cell>
          <cell r="BA636">
            <v>1619.3</v>
          </cell>
          <cell r="BB636">
            <v>660</v>
          </cell>
          <cell r="BF636" t="str">
            <v>Ok</v>
          </cell>
        </row>
        <row r="637">
          <cell r="B637" t="str">
            <v>HELSINKI BONE</v>
          </cell>
          <cell r="R637">
            <v>7.5</v>
          </cell>
          <cell r="S637">
            <v>303.60000000000002</v>
          </cell>
          <cell r="T637">
            <v>0</v>
          </cell>
          <cell r="U637">
            <v>0</v>
          </cell>
          <cell r="BA637">
            <v>303.60000000000002</v>
          </cell>
          <cell r="BB637">
            <v>0</v>
          </cell>
          <cell r="BF637" t="str">
            <v>Ok</v>
          </cell>
        </row>
        <row r="638">
          <cell r="B638" t="str">
            <v>HELSINKI DOMINO</v>
          </cell>
          <cell r="R638">
            <v>26.375</v>
          </cell>
          <cell r="S638">
            <v>65</v>
          </cell>
          <cell r="T638">
            <v>13</v>
          </cell>
          <cell r="U638">
            <v>2316.1999999999998</v>
          </cell>
          <cell r="BA638">
            <v>2394.1999999999998</v>
          </cell>
          <cell r="BB638">
            <v>0</v>
          </cell>
          <cell r="BF638" t="str">
            <v>Ok</v>
          </cell>
        </row>
        <row r="639">
          <cell r="B639" t="str">
            <v>HELSINKI DOVE</v>
          </cell>
          <cell r="R639">
            <v>18.125</v>
          </cell>
          <cell r="S639">
            <v>664.2</v>
          </cell>
          <cell r="T639">
            <v>29.85</v>
          </cell>
          <cell r="U639">
            <v>0</v>
          </cell>
          <cell r="BA639">
            <v>694.05000000000007</v>
          </cell>
          <cell r="BB639">
            <v>0</v>
          </cell>
          <cell r="BF639" t="str">
            <v>Ok</v>
          </cell>
        </row>
        <row r="640">
          <cell r="B640" t="str">
            <v>HELSINKI ONYX</v>
          </cell>
          <cell r="R640">
            <v>25</v>
          </cell>
          <cell r="S640">
            <v>520.75</v>
          </cell>
          <cell r="T640">
            <v>21.5</v>
          </cell>
          <cell r="U640">
            <v>0</v>
          </cell>
          <cell r="BA640">
            <v>542.25</v>
          </cell>
          <cell r="BB640">
            <v>0</v>
          </cell>
          <cell r="BF640" t="str">
            <v>Ok</v>
          </cell>
        </row>
        <row r="641">
          <cell r="B641" t="str">
            <v>HELSINKI STONE</v>
          </cell>
          <cell r="R641">
            <v>9.5</v>
          </cell>
          <cell r="S641">
            <v>356</v>
          </cell>
          <cell r="T641">
            <v>0</v>
          </cell>
          <cell r="U641">
            <v>965.1</v>
          </cell>
          <cell r="BA641">
            <v>1321.1</v>
          </cell>
          <cell r="BB641">
            <v>0</v>
          </cell>
          <cell r="BF641" t="str">
            <v>Ok</v>
          </cell>
        </row>
        <row r="642">
          <cell r="B642" t="str">
            <v>HELSINKI WINTER</v>
          </cell>
          <cell r="R642">
            <v>19.625</v>
          </cell>
          <cell r="S642">
            <v>1002.5</v>
          </cell>
          <cell r="T642">
            <v>21.9</v>
          </cell>
          <cell r="U642">
            <v>0</v>
          </cell>
          <cell r="BA642">
            <v>1024.4000000000001</v>
          </cell>
          <cell r="BB642">
            <v>0</v>
          </cell>
          <cell r="BF642" t="str">
            <v>Ok</v>
          </cell>
        </row>
        <row r="643">
          <cell r="B643" t="str">
            <v>HIGH LIVING CHARCOAL</v>
          </cell>
          <cell r="R643">
            <v>1.5249999999999999</v>
          </cell>
          <cell r="S643">
            <v>855.1</v>
          </cell>
          <cell r="T643">
            <v>11.6</v>
          </cell>
          <cell r="U643">
            <v>0</v>
          </cell>
          <cell r="BA643">
            <v>866.7</v>
          </cell>
          <cell r="BB643">
            <v>0</v>
          </cell>
          <cell r="BF643" t="str">
            <v>Ok</v>
          </cell>
        </row>
        <row r="644">
          <cell r="B644" t="str">
            <v>HIGH LIVING LINEN</v>
          </cell>
          <cell r="R644">
            <v>26.125</v>
          </cell>
          <cell r="S644">
            <v>79.7</v>
          </cell>
          <cell r="T644">
            <v>11</v>
          </cell>
          <cell r="U644">
            <v>463.5</v>
          </cell>
          <cell r="BA644">
            <v>554.20000000000005</v>
          </cell>
          <cell r="BB644">
            <v>0</v>
          </cell>
          <cell r="BF644" t="str">
            <v>Ok</v>
          </cell>
        </row>
        <row r="645">
          <cell r="B645" t="str">
            <v>HIGH LIVING NATURAL</v>
          </cell>
          <cell r="R645">
            <v>131.875</v>
          </cell>
          <cell r="S645">
            <v>412.2</v>
          </cell>
          <cell r="T645">
            <v>21.85</v>
          </cell>
          <cell r="U645">
            <v>0</v>
          </cell>
          <cell r="BA645">
            <v>893.05</v>
          </cell>
          <cell r="BB645">
            <v>300</v>
          </cell>
          <cell r="BF645" t="str">
            <v>Ok</v>
          </cell>
        </row>
        <row r="646">
          <cell r="B646" t="str">
            <v>HIGH LIVING WHITE</v>
          </cell>
          <cell r="R646">
            <v>0</v>
          </cell>
          <cell r="S646">
            <v>423.7</v>
          </cell>
          <cell r="T646">
            <v>14.9</v>
          </cell>
          <cell r="U646">
            <v>0</v>
          </cell>
          <cell r="BA646">
            <v>438.59999999999997</v>
          </cell>
          <cell r="BB646">
            <v>0</v>
          </cell>
          <cell r="BF646" t="str">
            <v>Ok</v>
          </cell>
        </row>
        <row r="647">
          <cell r="B647" t="str">
            <v>HIGHLIGHT BLACK</v>
          </cell>
          <cell r="R647">
            <v>17.274999999999999</v>
          </cell>
          <cell r="S647">
            <v>977.6</v>
          </cell>
          <cell r="T647">
            <v>26.6</v>
          </cell>
          <cell r="U647">
            <v>0</v>
          </cell>
          <cell r="BA647">
            <v>1004.2</v>
          </cell>
          <cell r="BB647">
            <v>100</v>
          </cell>
          <cell r="BF647" t="str">
            <v>Ok</v>
          </cell>
        </row>
        <row r="648">
          <cell r="B648" t="str">
            <v>HIGHLIGHT CLOUD</v>
          </cell>
          <cell r="R648">
            <v>12.074999999999999</v>
          </cell>
          <cell r="S648">
            <v>1291.5</v>
          </cell>
          <cell r="T648">
            <v>0</v>
          </cell>
          <cell r="U648">
            <v>52.6</v>
          </cell>
          <cell r="BA648">
            <v>1344.1</v>
          </cell>
          <cell r="BB648">
            <v>400</v>
          </cell>
          <cell r="BF648" t="str">
            <v>Ok</v>
          </cell>
        </row>
        <row r="649">
          <cell r="B649" t="str">
            <v>HIGHLIGHT IVORY</v>
          </cell>
          <cell r="R649">
            <v>24.65</v>
          </cell>
          <cell r="S649">
            <v>24.7</v>
          </cell>
          <cell r="T649">
            <v>37.6</v>
          </cell>
          <cell r="U649">
            <v>0</v>
          </cell>
          <cell r="BA649">
            <v>1288.3</v>
          </cell>
          <cell r="BB649">
            <v>0</v>
          </cell>
          <cell r="BF649" t="str">
            <v>Ok</v>
          </cell>
        </row>
        <row r="650">
          <cell r="B650" t="str">
            <v>HIGHLIGHT SAND</v>
          </cell>
          <cell r="R650">
            <v>24.75</v>
          </cell>
          <cell r="S650">
            <v>204.4</v>
          </cell>
          <cell r="T650">
            <v>47.81</v>
          </cell>
          <cell r="U650">
            <v>1132.8</v>
          </cell>
          <cell r="BA650">
            <v>1385.01</v>
          </cell>
          <cell r="BB650">
            <v>650</v>
          </cell>
          <cell r="BF650" t="str">
            <v>Ok</v>
          </cell>
        </row>
        <row r="651">
          <cell r="B651" t="str">
            <v>HIGHLIGHT SILVER</v>
          </cell>
          <cell r="R651">
            <v>19.25</v>
          </cell>
          <cell r="S651">
            <v>1108.0999999999999</v>
          </cell>
          <cell r="T651">
            <v>11.8</v>
          </cell>
          <cell r="U651">
            <v>0</v>
          </cell>
          <cell r="BA651">
            <v>1119.8999999999999</v>
          </cell>
          <cell r="BB651">
            <v>0</v>
          </cell>
          <cell r="BF651" t="str">
            <v>Ok</v>
          </cell>
        </row>
        <row r="652">
          <cell r="B652" t="str">
            <v>HINGE CHALK</v>
          </cell>
          <cell r="R652">
            <v>0.89999999999999991</v>
          </cell>
          <cell r="S652">
            <v>86.9</v>
          </cell>
          <cell r="T652">
            <v>35.700000000000003</v>
          </cell>
          <cell r="U652">
            <v>58.8</v>
          </cell>
          <cell r="BA652">
            <v>181.4</v>
          </cell>
          <cell r="BB652">
            <v>0</v>
          </cell>
          <cell r="BF652" t="str">
            <v>Ok</v>
          </cell>
        </row>
        <row r="653">
          <cell r="B653" t="str">
            <v>HINGE COTTON</v>
          </cell>
          <cell r="R653">
            <v>1.2999999999999998</v>
          </cell>
          <cell r="S653">
            <v>23.4</v>
          </cell>
          <cell r="T653">
            <v>19.149999999999999</v>
          </cell>
          <cell r="U653">
            <v>0</v>
          </cell>
          <cell r="BA653">
            <v>42.55</v>
          </cell>
          <cell r="BB653">
            <v>0</v>
          </cell>
          <cell r="BF653" t="str">
            <v>Ok</v>
          </cell>
        </row>
        <row r="654">
          <cell r="B654" t="str">
            <v>HOLLAND VELVET AQUA</v>
          </cell>
          <cell r="R654">
            <v>8.625</v>
          </cell>
          <cell r="S654">
            <v>202.05</v>
          </cell>
          <cell r="T654">
            <v>5.3</v>
          </cell>
          <cell r="U654">
            <v>0</v>
          </cell>
          <cell r="BA654">
            <v>207.35000000000002</v>
          </cell>
          <cell r="BB654">
            <v>0</v>
          </cell>
          <cell r="BF654" t="str">
            <v>Ok</v>
          </cell>
        </row>
        <row r="655">
          <cell r="B655" t="str">
            <v>HOLLAND VELVET BEIGE</v>
          </cell>
          <cell r="R655">
            <v>197.27499999999998</v>
          </cell>
          <cell r="S655">
            <v>331.5</v>
          </cell>
          <cell r="T655">
            <v>16.7</v>
          </cell>
          <cell r="U655">
            <v>2202.6999999999998</v>
          </cell>
          <cell r="BA655">
            <v>2550.8999999999996</v>
          </cell>
          <cell r="BB655">
            <v>300</v>
          </cell>
          <cell r="BF655" t="str">
            <v>Ok</v>
          </cell>
        </row>
        <row r="656">
          <cell r="B656" t="str">
            <v>HOLLAND VELVET BLACK</v>
          </cell>
          <cell r="R656">
            <v>293.95000000000005</v>
          </cell>
          <cell r="S656">
            <v>1557.3</v>
          </cell>
          <cell r="T656">
            <v>30.6</v>
          </cell>
          <cell r="U656">
            <v>0</v>
          </cell>
          <cell r="BA656">
            <v>2632.8999999999996</v>
          </cell>
          <cell r="BB656">
            <v>1600</v>
          </cell>
          <cell r="BF656" t="str">
            <v>Ok</v>
          </cell>
        </row>
        <row r="657">
          <cell r="B657" t="str">
            <v>HOLLAND VELVET BLUSH</v>
          </cell>
          <cell r="R657">
            <v>56.3</v>
          </cell>
          <cell r="S657">
            <v>961.1</v>
          </cell>
          <cell r="T657">
            <v>32.799999999999997</v>
          </cell>
          <cell r="U657">
            <v>0</v>
          </cell>
          <cell r="BA657">
            <v>1993.9</v>
          </cell>
          <cell r="BB657">
            <v>350</v>
          </cell>
          <cell r="BF657" t="str">
            <v>Ok</v>
          </cell>
        </row>
        <row r="658">
          <cell r="B658" t="str">
            <v>HOLLAND VELVET DEEPGREY</v>
          </cell>
          <cell r="R658">
            <v>5.8</v>
          </cell>
          <cell r="S658">
            <v>936.3</v>
          </cell>
          <cell r="T658">
            <v>30.05</v>
          </cell>
          <cell r="U658">
            <v>0</v>
          </cell>
          <cell r="BA658">
            <v>2124.35</v>
          </cell>
          <cell r="BB658">
            <v>300</v>
          </cell>
          <cell r="BF658" t="str">
            <v>Ok</v>
          </cell>
        </row>
        <row r="659">
          <cell r="B659" t="str">
            <v>HOLLAND VELVET EMERALD</v>
          </cell>
          <cell r="R659">
            <v>81.849999999999994</v>
          </cell>
          <cell r="S659">
            <v>1037.5999999999999</v>
          </cell>
          <cell r="T659">
            <v>10.8</v>
          </cell>
          <cell r="U659">
            <v>0</v>
          </cell>
          <cell r="BA659">
            <v>1048.3999999999999</v>
          </cell>
          <cell r="BB659">
            <v>350</v>
          </cell>
          <cell r="BF659" t="str">
            <v>Ok</v>
          </cell>
        </row>
        <row r="660">
          <cell r="B660" t="str">
            <v>HOLLAND VELVET LIME</v>
          </cell>
          <cell r="R660">
            <v>48.975000000000001</v>
          </cell>
          <cell r="S660">
            <v>872.2</v>
          </cell>
          <cell r="T660">
            <v>14.1</v>
          </cell>
          <cell r="U660">
            <v>0</v>
          </cell>
          <cell r="BA660">
            <v>886.30000000000007</v>
          </cell>
          <cell r="BB660">
            <v>0</v>
          </cell>
          <cell r="BF660" t="str">
            <v>Ok</v>
          </cell>
        </row>
        <row r="661">
          <cell r="B661" t="str">
            <v>HOLLAND VELVET MIDNIGHT</v>
          </cell>
          <cell r="R661">
            <v>535.20000000000005</v>
          </cell>
          <cell r="S661">
            <v>1071.2</v>
          </cell>
          <cell r="T661">
            <v>29.8</v>
          </cell>
          <cell r="U661">
            <v>0</v>
          </cell>
          <cell r="BA661">
            <v>2051</v>
          </cell>
          <cell r="BB661">
            <v>1800</v>
          </cell>
          <cell r="BF661" t="str">
            <v>Resurtir</v>
          </cell>
        </row>
        <row r="662">
          <cell r="B662" t="str">
            <v>HOLLAND VELVET MOCHA</v>
          </cell>
          <cell r="R662">
            <v>111.97500000000001</v>
          </cell>
          <cell r="S662">
            <v>235.1</v>
          </cell>
          <cell r="T662">
            <v>-0.1</v>
          </cell>
          <cell r="U662">
            <v>984.9</v>
          </cell>
          <cell r="BA662">
            <v>1219.9000000000001</v>
          </cell>
          <cell r="BB662">
            <v>300</v>
          </cell>
          <cell r="BF662" t="str">
            <v>Ok</v>
          </cell>
        </row>
        <row r="663">
          <cell r="B663" t="str">
            <v>HOLLAND VELVET MUSTARD</v>
          </cell>
          <cell r="R663">
            <v>140.69999999999999</v>
          </cell>
          <cell r="S663">
            <v>32.200000000000003</v>
          </cell>
          <cell r="T663">
            <v>23</v>
          </cell>
          <cell r="U663">
            <v>0</v>
          </cell>
          <cell r="BA663">
            <v>1157.2</v>
          </cell>
          <cell r="BB663">
            <v>0</v>
          </cell>
          <cell r="BF663" t="str">
            <v>Ok</v>
          </cell>
        </row>
        <row r="664">
          <cell r="B664" t="str">
            <v>HOLLAND VELVET PLATINUM</v>
          </cell>
          <cell r="R664">
            <v>81.875</v>
          </cell>
          <cell r="S664">
            <v>42.2</v>
          </cell>
          <cell r="T664">
            <v>18.8</v>
          </cell>
          <cell r="U664">
            <v>879.2</v>
          </cell>
          <cell r="BA664">
            <v>940.2</v>
          </cell>
          <cell r="BB664">
            <v>400</v>
          </cell>
          <cell r="BF664" t="str">
            <v>Ok</v>
          </cell>
        </row>
        <row r="665">
          <cell r="B665" t="str">
            <v>HOLLAND VELVET TERRACOTTA</v>
          </cell>
          <cell r="R665">
            <v>72.174999999999997</v>
          </cell>
          <cell r="S665">
            <v>640.6</v>
          </cell>
          <cell r="T665">
            <v>38.049999999999997</v>
          </cell>
          <cell r="U665">
            <v>0</v>
          </cell>
          <cell r="BA665">
            <v>678.65</v>
          </cell>
          <cell r="BB665">
            <v>0</v>
          </cell>
          <cell r="BF665" t="str">
            <v>Ok</v>
          </cell>
        </row>
        <row r="666">
          <cell r="B666" t="str">
            <v>HOLLAND VELVET WINE</v>
          </cell>
          <cell r="R666">
            <v>163.67500000000001</v>
          </cell>
          <cell r="S666">
            <v>389.3</v>
          </cell>
          <cell r="T666">
            <v>32.1</v>
          </cell>
          <cell r="U666">
            <v>0</v>
          </cell>
          <cell r="BA666">
            <v>1421.4</v>
          </cell>
          <cell r="BB666">
            <v>0</v>
          </cell>
          <cell r="BF666" t="str">
            <v>Ok</v>
          </cell>
        </row>
        <row r="667">
          <cell r="B667" t="str">
            <v>ICON DARKGREY</v>
          </cell>
          <cell r="R667">
            <v>32.924999999999997</v>
          </cell>
          <cell r="S667">
            <v>396.3</v>
          </cell>
          <cell r="T667">
            <v>23.5</v>
          </cell>
          <cell r="U667">
            <v>2108.8000000000002</v>
          </cell>
          <cell r="BA667">
            <v>2528.6000000000004</v>
          </cell>
          <cell r="BB667">
            <v>500</v>
          </cell>
          <cell r="BF667" t="str">
            <v>Ok</v>
          </cell>
        </row>
        <row r="668">
          <cell r="B668" t="str">
            <v>ICON DUNE</v>
          </cell>
          <cell r="R668">
            <v>105.55000000000001</v>
          </cell>
          <cell r="S668">
            <v>637.6</v>
          </cell>
          <cell r="T668">
            <v>122.26</v>
          </cell>
          <cell r="U668">
            <v>0</v>
          </cell>
          <cell r="BA668">
            <v>759.86</v>
          </cell>
          <cell r="BB668">
            <v>200</v>
          </cell>
          <cell r="BF668" t="str">
            <v>Ok</v>
          </cell>
        </row>
        <row r="669">
          <cell r="B669" t="str">
            <v>ICON ECRU</v>
          </cell>
          <cell r="R669">
            <v>131.17500000000001</v>
          </cell>
          <cell r="S669">
            <v>593.4</v>
          </cell>
          <cell r="T669">
            <v>23.9</v>
          </cell>
          <cell r="U669">
            <v>2192.1</v>
          </cell>
          <cell r="BA669">
            <v>2809.3999999999996</v>
          </cell>
          <cell r="BB669">
            <v>1000</v>
          </cell>
          <cell r="BF669" t="str">
            <v>Ok</v>
          </cell>
        </row>
        <row r="670">
          <cell r="B670" t="str">
            <v>ICON PLATINUM</v>
          </cell>
          <cell r="R670">
            <v>54.449999999999996</v>
          </cell>
          <cell r="S670">
            <v>251.8</v>
          </cell>
          <cell r="T670">
            <v>54.6</v>
          </cell>
          <cell r="U670">
            <v>0</v>
          </cell>
          <cell r="BA670">
            <v>306.40000000000003</v>
          </cell>
          <cell r="BB670">
            <v>100</v>
          </cell>
          <cell r="BF670" t="str">
            <v>Ok</v>
          </cell>
        </row>
        <row r="671">
          <cell r="B671" t="str">
            <v>ICON SMOKEBLUE</v>
          </cell>
          <cell r="R671">
            <v>27.37</v>
          </cell>
          <cell r="S671">
            <v>938</v>
          </cell>
          <cell r="T671">
            <v>13.3</v>
          </cell>
          <cell r="U671">
            <v>0</v>
          </cell>
          <cell r="BA671">
            <v>951.3</v>
          </cell>
          <cell r="BB671">
            <v>50</v>
          </cell>
          <cell r="BF671" t="str">
            <v>Ok</v>
          </cell>
        </row>
        <row r="672">
          <cell r="B672" t="str">
            <v>ICON WHITE</v>
          </cell>
          <cell r="R672">
            <v>38.049999999999997</v>
          </cell>
          <cell r="S672">
            <v>115.4</v>
          </cell>
          <cell r="T672">
            <v>50.1</v>
          </cell>
          <cell r="U672">
            <v>980.2</v>
          </cell>
          <cell r="BA672">
            <v>1145.7</v>
          </cell>
          <cell r="BB672">
            <v>250</v>
          </cell>
          <cell r="BF672" t="str">
            <v>Ok</v>
          </cell>
        </row>
        <row r="673">
          <cell r="B673" t="str">
            <v>INCANTO CREAM</v>
          </cell>
          <cell r="R673">
            <v>0.77500000000000002</v>
          </cell>
          <cell r="S673">
            <v>162.1</v>
          </cell>
          <cell r="T673">
            <v>8.0500000000000007</v>
          </cell>
          <cell r="U673">
            <v>809.1</v>
          </cell>
          <cell r="BA673">
            <v>979.25</v>
          </cell>
          <cell r="BB673">
            <v>0</v>
          </cell>
          <cell r="BF673" t="str">
            <v>Ok</v>
          </cell>
        </row>
        <row r="674">
          <cell r="B674" t="str">
            <v>INCANTO NATURAL</v>
          </cell>
          <cell r="R674">
            <v>4.75</v>
          </cell>
          <cell r="S674">
            <v>0</v>
          </cell>
          <cell r="T674">
            <v>7.65</v>
          </cell>
          <cell r="U674">
            <v>547.9</v>
          </cell>
          <cell r="BA674">
            <v>555.54999999999995</v>
          </cell>
          <cell r="BB674">
            <v>0</v>
          </cell>
          <cell r="BF674" t="str">
            <v>Ok</v>
          </cell>
        </row>
        <row r="675">
          <cell r="B675" t="str">
            <v>INDUS BEACH</v>
          </cell>
          <cell r="R675">
            <v>109.675</v>
          </cell>
          <cell r="S675">
            <v>778.2</v>
          </cell>
          <cell r="T675">
            <v>25.7</v>
          </cell>
          <cell r="U675">
            <v>502.9</v>
          </cell>
          <cell r="BA675">
            <v>1306.8000000000002</v>
          </cell>
          <cell r="BB675">
            <v>300</v>
          </cell>
          <cell r="BF675" t="str">
            <v>Ok</v>
          </cell>
        </row>
        <row r="676">
          <cell r="B676" t="str">
            <v>INDUS PUMICE</v>
          </cell>
          <cell r="R676">
            <v>26.925000000000001</v>
          </cell>
          <cell r="S676">
            <v>370.3</v>
          </cell>
          <cell r="T676">
            <v>0</v>
          </cell>
          <cell r="U676">
            <v>0</v>
          </cell>
          <cell r="BA676">
            <v>370.3</v>
          </cell>
          <cell r="BB676">
            <v>0</v>
          </cell>
          <cell r="BF676" t="str">
            <v>Ok</v>
          </cell>
        </row>
        <row r="677">
          <cell r="B677" t="str">
            <v>INTERLACE MANGO</v>
          </cell>
          <cell r="R677">
            <v>1.5249999999999999</v>
          </cell>
          <cell r="S677">
            <v>94</v>
          </cell>
          <cell r="T677">
            <v>0</v>
          </cell>
          <cell r="U677">
            <v>0</v>
          </cell>
          <cell r="BA677">
            <v>94</v>
          </cell>
          <cell r="BB677">
            <v>0</v>
          </cell>
          <cell r="BF677" t="str">
            <v>Ok</v>
          </cell>
        </row>
        <row r="678">
          <cell r="B678" t="str">
            <v>INTERLACE PEONY</v>
          </cell>
          <cell r="R678">
            <v>0</v>
          </cell>
          <cell r="S678">
            <v>71.7</v>
          </cell>
          <cell r="T678">
            <v>5.2</v>
          </cell>
          <cell r="U678">
            <v>0</v>
          </cell>
          <cell r="BA678">
            <v>76.900000000000006</v>
          </cell>
          <cell r="BB678">
            <v>0</v>
          </cell>
          <cell r="BF678" t="str">
            <v>Ok</v>
          </cell>
        </row>
        <row r="679">
          <cell r="B679" t="str">
            <v>INVERNO CHALK</v>
          </cell>
          <cell r="R679">
            <v>0</v>
          </cell>
          <cell r="S679">
            <v>45.6</v>
          </cell>
          <cell r="T679">
            <v>0</v>
          </cell>
          <cell r="U679">
            <v>46.5</v>
          </cell>
          <cell r="BA679">
            <v>92.1</v>
          </cell>
          <cell r="BB679">
            <v>0</v>
          </cell>
          <cell r="BF679" t="str">
            <v>Ok</v>
          </cell>
        </row>
        <row r="680">
          <cell r="B680" t="str">
            <v>INVERNO DOVE</v>
          </cell>
          <cell r="R680">
            <v>0</v>
          </cell>
          <cell r="S680">
            <v>61.7</v>
          </cell>
          <cell r="T680">
            <v>20.100000000000001</v>
          </cell>
          <cell r="U680">
            <v>0</v>
          </cell>
          <cell r="BA680">
            <v>1150.8</v>
          </cell>
          <cell r="BB680">
            <v>0</v>
          </cell>
          <cell r="BF680" t="str">
            <v>Ok</v>
          </cell>
        </row>
        <row r="681">
          <cell r="B681" t="str">
            <v>IRIS CREAM</v>
          </cell>
          <cell r="R681">
            <v>26</v>
          </cell>
          <cell r="S681">
            <v>0</v>
          </cell>
          <cell r="T681">
            <v>15.7</v>
          </cell>
          <cell r="U681">
            <v>0</v>
          </cell>
          <cell r="BA681">
            <v>337.7</v>
          </cell>
          <cell r="BB681">
            <v>0</v>
          </cell>
          <cell r="BF681" t="str">
            <v>Ok</v>
          </cell>
        </row>
        <row r="682">
          <cell r="B682" t="str">
            <v>IRIS ECRU</v>
          </cell>
          <cell r="R682">
            <v>44</v>
          </cell>
          <cell r="S682">
            <v>149.6</v>
          </cell>
          <cell r="T682">
            <v>25.4</v>
          </cell>
          <cell r="U682">
            <v>0</v>
          </cell>
          <cell r="BA682">
            <v>175</v>
          </cell>
          <cell r="BB682">
            <v>200</v>
          </cell>
          <cell r="BF682" t="str">
            <v>Resurtir</v>
          </cell>
        </row>
        <row r="683">
          <cell r="B683" t="str">
            <v>IRIS IVORY</v>
          </cell>
          <cell r="R683">
            <v>33.4</v>
          </cell>
          <cell r="S683">
            <v>312</v>
          </cell>
          <cell r="T683">
            <v>73.849999999999994</v>
          </cell>
          <cell r="U683">
            <v>0</v>
          </cell>
          <cell r="BA683">
            <v>385.85</v>
          </cell>
          <cell r="BB683">
            <v>0</v>
          </cell>
          <cell r="BF683" t="str">
            <v>Ok</v>
          </cell>
        </row>
        <row r="684">
          <cell r="B684" t="str">
            <v>ISABELLA CREAM</v>
          </cell>
          <cell r="R684">
            <v>0</v>
          </cell>
          <cell r="S684">
            <v>21.15</v>
          </cell>
          <cell r="T684">
            <v>19.850000000000001</v>
          </cell>
          <cell r="U684">
            <v>48.9</v>
          </cell>
          <cell r="BA684">
            <v>89.9</v>
          </cell>
          <cell r="BB684">
            <v>0</v>
          </cell>
          <cell r="BF684" t="str">
            <v>Ok</v>
          </cell>
        </row>
        <row r="685">
          <cell r="B685" t="str">
            <v>ISHARA PEARL</v>
          </cell>
          <cell r="R685">
            <v>29.725000000000001</v>
          </cell>
          <cell r="S685">
            <v>30.8</v>
          </cell>
          <cell r="T685">
            <v>5.8</v>
          </cell>
          <cell r="U685">
            <v>0</v>
          </cell>
          <cell r="BA685">
            <v>136.6</v>
          </cell>
          <cell r="BB685">
            <v>0</v>
          </cell>
          <cell r="BF685" t="str">
            <v>Ok</v>
          </cell>
        </row>
        <row r="686">
          <cell r="B686" t="str">
            <v>ITALIAN VELVET ADMIRAL</v>
          </cell>
          <cell r="R686">
            <v>10.125</v>
          </cell>
          <cell r="S686">
            <v>968.3</v>
          </cell>
          <cell r="T686">
            <v>18.3</v>
          </cell>
          <cell r="U686">
            <v>0</v>
          </cell>
          <cell r="BA686">
            <v>986.59999999999991</v>
          </cell>
          <cell r="BB686">
            <v>0</v>
          </cell>
          <cell r="BF686" t="str">
            <v>Ok</v>
          </cell>
        </row>
        <row r="687">
          <cell r="B687" t="str">
            <v>ITALIAN VELVET BEIGE</v>
          </cell>
          <cell r="R687">
            <v>42.024999999999999</v>
          </cell>
          <cell r="S687">
            <v>672</v>
          </cell>
          <cell r="T687">
            <v>19.7</v>
          </cell>
          <cell r="U687">
            <v>0</v>
          </cell>
          <cell r="BA687">
            <v>691.7</v>
          </cell>
          <cell r="BB687">
            <v>0</v>
          </cell>
          <cell r="BF687" t="str">
            <v>Ok</v>
          </cell>
        </row>
        <row r="688">
          <cell r="B688" t="str">
            <v>ITALIAN VELVET BUTTER</v>
          </cell>
          <cell r="R688">
            <v>21.25</v>
          </cell>
          <cell r="S688">
            <v>198.6</v>
          </cell>
          <cell r="T688">
            <v>12.9</v>
          </cell>
          <cell r="U688">
            <v>1090.8</v>
          </cell>
          <cell r="BA688">
            <v>1302.3</v>
          </cell>
          <cell r="BB688">
            <v>0</v>
          </cell>
          <cell r="BF688" t="str">
            <v>Ok</v>
          </cell>
        </row>
        <row r="689">
          <cell r="B689" t="str">
            <v>ITALIAN VELVET CAPUCCINO</v>
          </cell>
          <cell r="R689">
            <v>90.65</v>
          </cell>
          <cell r="S689">
            <v>780.7</v>
          </cell>
          <cell r="T689">
            <v>30.5</v>
          </cell>
          <cell r="U689">
            <v>0</v>
          </cell>
          <cell r="BA689">
            <v>811.2</v>
          </cell>
          <cell r="BB689">
            <v>200</v>
          </cell>
          <cell r="BF689" t="str">
            <v>Ok</v>
          </cell>
        </row>
        <row r="690">
          <cell r="B690" t="str">
            <v>ITALIAN VELVET CHOCOLATE</v>
          </cell>
          <cell r="R690">
            <v>3.65</v>
          </cell>
          <cell r="S690">
            <v>2695.77</v>
          </cell>
          <cell r="T690">
            <v>15.5</v>
          </cell>
          <cell r="U690">
            <v>0</v>
          </cell>
          <cell r="BA690">
            <v>2711.27</v>
          </cell>
          <cell r="BB690">
            <v>0</v>
          </cell>
          <cell r="BF690" t="str">
            <v>Ok</v>
          </cell>
        </row>
        <row r="691">
          <cell r="B691" t="str">
            <v>ITALIAN VELVET COBALT</v>
          </cell>
          <cell r="R691">
            <v>0</v>
          </cell>
          <cell r="S691">
            <v>46.7</v>
          </cell>
          <cell r="T691">
            <v>35.450000000000003</v>
          </cell>
          <cell r="U691">
            <v>0</v>
          </cell>
          <cell r="BA691">
            <v>82.15</v>
          </cell>
          <cell r="BB691">
            <v>0</v>
          </cell>
          <cell r="BF691" t="str">
            <v>Ok</v>
          </cell>
        </row>
        <row r="692">
          <cell r="B692" t="str">
            <v>ITALIAN VELVET EMERALD</v>
          </cell>
          <cell r="R692">
            <v>21.774999999999999</v>
          </cell>
          <cell r="S692">
            <v>605.79999999999995</v>
          </cell>
          <cell r="T692">
            <v>31.2</v>
          </cell>
          <cell r="U692">
            <v>0</v>
          </cell>
          <cell r="BA692">
            <v>637</v>
          </cell>
          <cell r="BB692">
            <v>200</v>
          </cell>
          <cell r="BF692" t="str">
            <v>Ok</v>
          </cell>
        </row>
        <row r="693">
          <cell r="B693" t="str">
            <v>ITALIAN VELVET GOLD</v>
          </cell>
          <cell r="R693">
            <v>35.65</v>
          </cell>
          <cell r="S693">
            <v>497.3</v>
          </cell>
          <cell r="T693">
            <v>22.2</v>
          </cell>
          <cell r="U693">
            <v>1909.1</v>
          </cell>
          <cell r="BA693">
            <v>2428.6</v>
          </cell>
          <cell r="BB693">
            <v>400</v>
          </cell>
          <cell r="BF693" t="str">
            <v>Ok</v>
          </cell>
        </row>
        <row r="694">
          <cell r="B694" t="str">
            <v>ITALIAN VELVET GREY</v>
          </cell>
          <cell r="R694">
            <v>5.5</v>
          </cell>
          <cell r="S694">
            <v>899.9</v>
          </cell>
          <cell r="T694">
            <v>0</v>
          </cell>
          <cell r="U694">
            <v>0</v>
          </cell>
          <cell r="BA694">
            <v>899.9</v>
          </cell>
          <cell r="BB694">
            <v>0</v>
          </cell>
          <cell r="BF694" t="str">
            <v>Ok</v>
          </cell>
        </row>
        <row r="695">
          <cell r="B695" t="str">
            <v>ITALIAN VELVET MERCURY</v>
          </cell>
          <cell r="R695">
            <v>21.025000000000002</v>
          </cell>
          <cell r="S695">
            <v>791.7</v>
          </cell>
          <cell r="T695">
            <v>14.4</v>
          </cell>
          <cell r="U695">
            <v>0</v>
          </cell>
          <cell r="BA695">
            <v>806.1</v>
          </cell>
          <cell r="BB695">
            <v>200</v>
          </cell>
          <cell r="BF695" t="str">
            <v>Ok</v>
          </cell>
        </row>
        <row r="696">
          <cell r="B696" t="str">
            <v>ITALIAN VELVET MIDNIGHT</v>
          </cell>
          <cell r="R696">
            <v>37.799999999999997</v>
          </cell>
          <cell r="S696">
            <v>717.1</v>
          </cell>
          <cell r="T696">
            <v>10</v>
          </cell>
          <cell r="U696">
            <v>0</v>
          </cell>
          <cell r="BA696">
            <v>727.1</v>
          </cell>
          <cell r="BB696">
            <v>30</v>
          </cell>
          <cell r="BF696" t="str">
            <v>Ok</v>
          </cell>
        </row>
        <row r="697">
          <cell r="B697" t="str">
            <v>ITALIAN VELVET MOLESKIN</v>
          </cell>
          <cell r="R697">
            <v>7.5</v>
          </cell>
          <cell r="S697">
            <v>566.6</v>
          </cell>
          <cell r="T697">
            <v>28.4</v>
          </cell>
          <cell r="U697">
            <v>0</v>
          </cell>
          <cell r="BA697">
            <v>595</v>
          </cell>
          <cell r="BB697">
            <v>0</v>
          </cell>
          <cell r="BF697" t="str">
            <v>Ok</v>
          </cell>
        </row>
        <row r="698">
          <cell r="B698" t="str">
            <v>ITALIAN VELVET MUSTARD</v>
          </cell>
          <cell r="R698">
            <v>0.5</v>
          </cell>
          <cell r="S698">
            <v>1068.9000000000001</v>
          </cell>
          <cell r="T698">
            <v>13.3</v>
          </cell>
          <cell r="U698">
            <v>0</v>
          </cell>
          <cell r="BA698">
            <v>1082.2</v>
          </cell>
          <cell r="BB698">
            <v>0</v>
          </cell>
          <cell r="BF698" t="str">
            <v>Ok</v>
          </cell>
        </row>
        <row r="699">
          <cell r="B699" t="str">
            <v>ITALIAN VELVET PLATINUM</v>
          </cell>
          <cell r="R699">
            <v>12.55</v>
          </cell>
          <cell r="S699">
            <v>406.9</v>
          </cell>
          <cell r="T699">
            <v>0</v>
          </cell>
          <cell r="U699">
            <v>0</v>
          </cell>
          <cell r="BA699">
            <v>406.9</v>
          </cell>
          <cell r="BB699">
            <v>30</v>
          </cell>
          <cell r="BF699" t="str">
            <v>Ok</v>
          </cell>
        </row>
        <row r="700">
          <cell r="B700" t="str">
            <v>JAIPUR LINEN</v>
          </cell>
          <cell r="R700">
            <v>6.85</v>
          </cell>
          <cell r="S700">
            <v>97.75</v>
          </cell>
          <cell r="T700">
            <v>20.79</v>
          </cell>
          <cell r="U700">
            <v>269.92</v>
          </cell>
          <cell r="BA700">
            <v>388.46000000000004</v>
          </cell>
          <cell r="BB700">
            <v>0</v>
          </cell>
          <cell r="BF700" t="str">
            <v>Ok</v>
          </cell>
        </row>
        <row r="701">
          <cell r="B701" t="str">
            <v>JAIPUR PEWTER</v>
          </cell>
          <cell r="R701">
            <v>2.375</v>
          </cell>
          <cell r="S701">
            <v>42.34</v>
          </cell>
          <cell r="T701">
            <v>12.67</v>
          </cell>
          <cell r="U701">
            <v>0</v>
          </cell>
          <cell r="BA701">
            <v>97.01</v>
          </cell>
          <cell r="BB701">
            <v>0</v>
          </cell>
          <cell r="BF701" t="str">
            <v>Ok</v>
          </cell>
        </row>
        <row r="702">
          <cell r="B702" t="str">
            <v>JANE CREAM</v>
          </cell>
          <cell r="R702">
            <v>29.25</v>
          </cell>
          <cell r="S702">
            <v>141.69999999999999</v>
          </cell>
          <cell r="T702">
            <v>34.299999999999997</v>
          </cell>
          <cell r="U702">
            <v>1517.5</v>
          </cell>
          <cell r="BA702">
            <v>1693.5</v>
          </cell>
          <cell r="BB702">
            <v>0</v>
          </cell>
          <cell r="BF702" t="str">
            <v>Ok</v>
          </cell>
        </row>
        <row r="703">
          <cell r="B703" t="str">
            <v>JANE DOUBLE CREAM</v>
          </cell>
          <cell r="R703">
            <v>63.95</v>
          </cell>
          <cell r="S703">
            <v>996</v>
          </cell>
          <cell r="T703">
            <v>60.44</v>
          </cell>
          <cell r="U703">
            <v>0</v>
          </cell>
          <cell r="BA703">
            <v>1056.44</v>
          </cell>
          <cell r="BB703">
            <v>50</v>
          </cell>
          <cell r="BF703" t="str">
            <v>Ok</v>
          </cell>
        </row>
        <row r="704">
          <cell r="B704" t="str">
            <v>JANE DOUBLE GREY</v>
          </cell>
          <cell r="R704">
            <v>57.774999999999991</v>
          </cell>
          <cell r="S704">
            <v>167.7</v>
          </cell>
          <cell r="T704">
            <v>22.7</v>
          </cell>
          <cell r="U704">
            <v>876</v>
          </cell>
          <cell r="BA704">
            <v>1066.4000000000001</v>
          </cell>
          <cell r="BB704">
            <v>400</v>
          </cell>
          <cell r="BF704" t="str">
            <v>Ok</v>
          </cell>
        </row>
        <row r="705">
          <cell r="B705" t="str">
            <v>JANE DOUBLE SAND</v>
          </cell>
          <cell r="R705">
            <v>38</v>
          </cell>
          <cell r="S705">
            <v>124.2</v>
          </cell>
          <cell r="T705">
            <v>88.9</v>
          </cell>
          <cell r="U705">
            <v>2014</v>
          </cell>
          <cell r="BA705">
            <v>2227.1</v>
          </cell>
          <cell r="BB705">
            <v>100</v>
          </cell>
          <cell r="BF705" t="str">
            <v>Ok</v>
          </cell>
        </row>
        <row r="706">
          <cell r="B706" t="str">
            <v>JANE DOUBLE WHITE</v>
          </cell>
          <cell r="R706">
            <v>5</v>
          </cell>
          <cell r="S706">
            <v>125</v>
          </cell>
          <cell r="T706">
            <v>26.9</v>
          </cell>
          <cell r="U706">
            <v>1746.5</v>
          </cell>
          <cell r="BA706">
            <v>1898.4</v>
          </cell>
          <cell r="BB706">
            <v>0</v>
          </cell>
          <cell r="BF706" t="str">
            <v>Ok</v>
          </cell>
        </row>
        <row r="707">
          <cell r="B707" t="str">
            <v>JANE GREY</v>
          </cell>
          <cell r="R707">
            <v>0</v>
          </cell>
          <cell r="S707">
            <v>2777</v>
          </cell>
          <cell r="T707">
            <v>0</v>
          </cell>
          <cell r="U707">
            <v>0</v>
          </cell>
          <cell r="BA707">
            <v>2777</v>
          </cell>
          <cell r="BB707">
            <v>0</v>
          </cell>
          <cell r="BF707" t="str">
            <v>Ok</v>
          </cell>
        </row>
        <row r="708">
          <cell r="B708" t="str">
            <v>JANE SAND</v>
          </cell>
          <cell r="R708">
            <v>3.5</v>
          </cell>
          <cell r="S708">
            <v>0</v>
          </cell>
          <cell r="T708">
            <v>6.2</v>
          </cell>
          <cell r="U708">
            <v>0</v>
          </cell>
          <cell r="BA708">
            <v>6.2</v>
          </cell>
          <cell r="BB708">
            <v>0</v>
          </cell>
          <cell r="BF708" t="str">
            <v>Resurtir</v>
          </cell>
        </row>
        <row r="709">
          <cell r="B709" t="str">
            <v>JANE WHITE</v>
          </cell>
          <cell r="R709">
            <v>26</v>
          </cell>
          <cell r="S709">
            <v>1177.5999999999999</v>
          </cell>
          <cell r="T709">
            <v>0</v>
          </cell>
          <cell r="U709">
            <v>0</v>
          </cell>
          <cell r="BA709">
            <v>1177.5999999999999</v>
          </cell>
          <cell r="BB709">
            <v>0</v>
          </cell>
          <cell r="BF709" t="str">
            <v>Ok</v>
          </cell>
        </row>
        <row r="710">
          <cell r="B710" t="str">
            <v>JAST PORCELAIN</v>
          </cell>
          <cell r="R710">
            <v>184.75</v>
          </cell>
          <cell r="S710">
            <v>143</v>
          </cell>
          <cell r="T710">
            <v>35.1</v>
          </cell>
          <cell r="U710">
            <v>0</v>
          </cell>
          <cell r="BA710">
            <v>684.1</v>
          </cell>
          <cell r="BB710">
            <v>690</v>
          </cell>
          <cell r="BF710" t="str">
            <v>Resurtir</v>
          </cell>
        </row>
        <row r="711">
          <cell r="B711" t="str">
            <v>JETTY CHARCOAL</v>
          </cell>
          <cell r="R711">
            <v>10.25</v>
          </cell>
          <cell r="S711">
            <v>269.10000000000002</v>
          </cell>
          <cell r="T711">
            <v>0</v>
          </cell>
          <cell r="U711">
            <v>0</v>
          </cell>
          <cell r="BA711">
            <v>269.10000000000002</v>
          </cell>
          <cell r="BB711">
            <v>0</v>
          </cell>
          <cell r="BF711" t="str">
            <v>Ok</v>
          </cell>
        </row>
        <row r="712">
          <cell r="B712" t="str">
            <v>JETTY CREAM</v>
          </cell>
          <cell r="R712">
            <v>49.9</v>
          </cell>
          <cell r="S712">
            <v>80</v>
          </cell>
          <cell r="T712">
            <v>18.5</v>
          </cell>
          <cell r="U712">
            <v>0</v>
          </cell>
          <cell r="BA712">
            <v>98.5</v>
          </cell>
          <cell r="BB712">
            <v>450</v>
          </cell>
          <cell r="BF712" t="str">
            <v>Resurtir</v>
          </cell>
        </row>
        <row r="713">
          <cell r="B713" t="str">
            <v>JETTY DENIM</v>
          </cell>
          <cell r="R713">
            <v>0</v>
          </cell>
          <cell r="S713">
            <v>80</v>
          </cell>
          <cell r="T713">
            <v>35.15</v>
          </cell>
          <cell r="U713">
            <v>0</v>
          </cell>
          <cell r="BA713">
            <v>115.15</v>
          </cell>
          <cell r="BB713">
            <v>0</v>
          </cell>
          <cell r="BF713" t="str">
            <v>Ok</v>
          </cell>
        </row>
        <row r="714">
          <cell r="B714" t="str">
            <v>JETTY PEARL</v>
          </cell>
          <cell r="R714">
            <v>12</v>
          </cell>
          <cell r="S714">
            <v>239.92</v>
          </cell>
          <cell r="T714">
            <v>36.6</v>
          </cell>
          <cell r="U714">
            <v>0</v>
          </cell>
          <cell r="BA714">
            <v>276.52</v>
          </cell>
          <cell r="BB714">
            <v>0</v>
          </cell>
          <cell r="BF714" t="str">
            <v>Ok</v>
          </cell>
        </row>
        <row r="715">
          <cell r="B715" t="str">
            <v>JOVAN DOVE</v>
          </cell>
          <cell r="R715">
            <v>27.625</v>
          </cell>
          <cell r="S715">
            <v>198.8</v>
          </cell>
          <cell r="T715">
            <v>50.7</v>
          </cell>
          <cell r="U715">
            <v>0</v>
          </cell>
          <cell r="BA715">
            <v>249.5</v>
          </cell>
          <cell r="BB715">
            <v>0</v>
          </cell>
          <cell r="BF715" t="str">
            <v>Ok</v>
          </cell>
        </row>
        <row r="716">
          <cell r="B716" t="str">
            <v>JOVAN EARTH</v>
          </cell>
          <cell r="R716">
            <v>18.324999999999999</v>
          </cell>
          <cell r="S716">
            <v>118.8</v>
          </cell>
          <cell r="T716">
            <v>12.2</v>
          </cell>
          <cell r="U716">
            <v>46.3</v>
          </cell>
          <cell r="BA716">
            <v>177.3</v>
          </cell>
          <cell r="BB716">
            <v>50</v>
          </cell>
          <cell r="BF716" t="str">
            <v>Ok</v>
          </cell>
        </row>
        <row r="717">
          <cell r="B717" t="str">
            <v>JOVAN NATURAL</v>
          </cell>
          <cell r="R717">
            <v>44.087499999999999</v>
          </cell>
          <cell r="S717">
            <v>227.8</v>
          </cell>
          <cell r="T717">
            <v>59.25</v>
          </cell>
          <cell r="U717">
            <v>0</v>
          </cell>
          <cell r="BA717">
            <v>287.05</v>
          </cell>
          <cell r="BB717">
            <v>0</v>
          </cell>
          <cell r="BF717" t="str">
            <v>Ok</v>
          </cell>
        </row>
        <row r="718">
          <cell r="B718" t="str">
            <v>JULIETA LINEN</v>
          </cell>
          <cell r="R718">
            <v>19.125</v>
          </cell>
          <cell r="S718">
            <v>23.3</v>
          </cell>
          <cell r="T718">
            <v>23.8</v>
          </cell>
          <cell r="U718">
            <v>0</v>
          </cell>
          <cell r="BA718">
            <v>47.1</v>
          </cell>
          <cell r="BB718">
            <v>0</v>
          </cell>
          <cell r="BF718" t="str">
            <v>Resurtir</v>
          </cell>
        </row>
        <row r="719">
          <cell r="B719" t="str">
            <v>JUNO ALABASTER</v>
          </cell>
          <cell r="R719">
            <v>8.5</v>
          </cell>
          <cell r="S719">
            <v>0</v>
          </cell>
          <cell r="T719">
            <v>28.5</v>
          </cell>
          <cell r="U719">
            <v>0</v>
          </cell>
          <cell r="BA719">
            <v>155.5</v>
          </cell>
          <cell r="BB719">
            <v>0</v>
          </cell>
          <cell r="BF719" t="str">
            <v>Ok</v>
          </cell>
        </row>
        <row r="720">
          <cell r="B720" t="str">
            <v>JUNO BARK</v>
          </cell>
          <cell r="R720">
            <v>0</v>
          </cell>
          <cell r="S720">
            <v>134.5</v>
          </cell>
          <cell r="T720">
            <v>0</v>
          </cell>
          <cell r="U720">
            <v>0</v>
          </cell>
          <cell r="BA720">
            <v>134.5</v>
          </cell>
          <cell r="BB720">
            <v>0</v>
          </cell>
          <cell r="BF720" t="str">
            <v>Ok</v>
          </cell>
        </row>
        <row r="721">
          <cell r="B721" t="str">
            <v>JUNO BEIGE</v>
          </cell>
          <cell r="R721">
            <v>59.3</v>
          </cell>
          <cell r="S721">
            <v>317.89999999999998</v>
          </cell>
          <cell r="T721">
            <v>27.65</v>
          </cell>
          <cell r="U721">
            <v>0</v>
          </cell>
          <cell r="BA721">
            <v>345.54999999999995</v>
          </cell>
          <cell r="BB721">
            <v>150</v>
          </cell>
          <cell r="BF721" t="str">
            <v>Ok</v>
          </cell>
        </row>
        <row r="722">
          <cell r="B722" t="str">
            <v>JUNO EBONY</v>
          </cell>
          <cell r="R722">
            <v>62.5</v>
          </cell>
          <cell r="S722">
            <v>131.80000000000001</v>
          </cell>
          <cell r="T722">
            <v>21.25</v>
          </cell>
          <cell r="U722">
            <v>0</v>
          </cell>
          <cell r="BA722">
            <v>327.05</v>
          </cell>
          <cell r="BB722">
            <v>0</v>
          </cell>
          <cell r="BF722" t="str">
            <v>Ok</v>
          </cell>
        </row>
        <row r="723">
          <cell r="B723" t="str">
            <v>JUNO FLAX</v>
          </cell>
          <cell r="R723">
            <v>31.174999999999997</v>
          </cell>
          <cell r="S723">
            <v>316</v>
          </cell>
          <cell r="T723">
            <v>37</v>
          </cell>
          <cell r="U723">
            <v>0</v>
          </cell>
          <cell r="BA723">
            <v>353</v>
          </cell>
          <cell r="BB723">
            <v>0</v>
          </cell>
          <cell r="BF723" t="str">
            <v>Ok</v>
          </cell>
        </row>
        <row r="724">
          <cell r="B724" t="str">
            <v>JUNO NAVY</v>
          </cell>
          <cell r="R724">
            <v>8.0749999999999993</v>
          </cell>
          <cell r="S724">
            <v>34</v>
          </cell>
          <cell r="T724">
            <v>29.44</v>
          </cell>
          <cell r="U724">
            <v>0</v>
          </cell>
          <cell r="BA724">
            <v>63.44</v>
          </cell>
          <cell r="BB724">
            <v>0</v>
          </cell>
          <cell r="BF724" t="str">
            <v>Ok</v>
          </cell>
        </row>
        <row r="725">
          <cell r="B725" t="str">
            <v>JUNO NICKEL</v>
          </cell>
          <cell r="R725">
            <v>5.3</v>
          </cell>
          <cell r="S725">
            <v>92.95</v>
          </cell>
          <cell r="T725">
            <v>9.4</v>
          </cell>
          <cell r="U725">
            <v>0</v>
          </cell>
          <cell r="BA725">
            <v>102.35000000000001</v>
          </cell>
          <cell r="BB725">
            <v>0</v>
          </cell>
          <cell r="BF725" t="str">
            <v>Ok</v>
          </cell>
        </row>
        <row r="726">
          <cell r="B726" t="str">
            <v>JUNO OYSTER</v>
          </cell>
          <cell r="R726">
            <v>19.424999999999997</v>
          </cell>
          <cell r="S726">
            <v>145.5</v>
          </cell>
          <cell r="T726">
            <v>32.01</v>
          </cell>
          <cell r="U726">
            <v>0</v>
          </cell>
          <cell r="BA726">
            <v>177.51</v>
          </cell>
          <cell r="BB726">
            <v>50</v>
          </cell>
          <cell r="BF726" t="str">
            <v>Ok</v>
          </cell>
        </row>
        <row r="727">
          <cell r="B727" t="str">
            <v>JUNO ROSE</v>
          </cell>
          <cell r="R727">
            <v>14.775</v>
          </cell>
          <cell r="S727">
            <v>210</v>
          </cell>
          <cell r="T727">
            <v>36.9</v>
          </cell>
          <cell r="U727">
            <v>0</v>
          </cell>
          <cell r="BA727">
            <v>246.9</v>
          </cell>
          <cell r="BB727">
            <v>0</v>
          </cell>
          <cell r="BF727" t="str">
            <v>Ok</v>
          </cell>
        </row>
        <row r="728">
          <cell r="B728" t="str">
            <v>KAIS DUNE</v>
          </cell>
          <cell r="R728">
            <v>0.5</v>
          </cell>
          <cell r="S728">
            <v>203</v>
          </cell>
          <cell r="T728">
            <v>0</v>
          </cell>
          <cell r="U728">
            <v>0</v>
          </cell>
          <cell r="BA728">
            <v>203</v>
          </cell>
          <cell r="BB728">
            <v>0</v>
          </cell>
          <cell r="BF728" t="str">
            <v>Ok</v>
          </cell>
        </row>
        <row r="729">
          <cell r="B729" t="str">
            <v>KAIS FOSSIL</v>
          </cell>
          <cell r="R729">
            <v>54.674999999999997</v>
          </cell>
          <cell r="S729">
            <v>94.3</v>
          </cell>
          <cell r="T729">
            <v>31.7</v>
          </cell>
          <cell r="U729">
            <v>0</v>
          </cell>
          <cell r="BA729">
            <v>228</v>
          </cell>
          <cell r="BB729">
            <v>0</v>
          </cell>
          <cell r="BF729" t="str">
            <v>Resurtir</v>
          </cell>
        </row>
        <row r="730">
          <cell r="B730" t="str">
            <v>KAIS NIGHT</v>
          </cell>
          <cell r="R730">
            <v>3.25</v>
          </cell>
          <cell r="S730">
            <v>0</v>
          </cell>
          <cell r="T730">
            <v>6.2</v>
          </cell>
          <cell r="U730">
            <v>0</v>
          </cell>
          <cell r="BA730">
            <v>112.2</v>
          </cell>
          <cell r="BB730">
            <v>0</v>
          </cell>
          <cell r="BF730" t="str">
            <v>Ok</v>
          </cell>
        </row>
        <row r="731">
          <cell r="B731" t="str">
            <v>KALI CHALK</v>
          </cell>
          <cell r="R731">
            <v>9.0500000000000007</v>
          </cell>
          <cell r="S731">
            <v>222.3</v>
          </cell>
          <cell r="T731">
            <v>9.3000000000000007</v>
          </cell>
          <cell r="U731">
            <v>104</v>
          </cell>
          <cell r="BA731">
            <v>335.6</v>
          </cell>
          <cell r="BB731">
            <v>0</v>
          </cell>
          <cell r="BF731" t="str">
            <v>Ok</v>
          </cell>
        </row>
        <row r="732">
          <cell r="B732" t="str">
            <v>KARI MIDNIGHT</v>
          </cell>
          <cell r="R732">
            <v>0</v>
          </cell>
          <cell r="S732">
            <v>93.1</v>
          </cell>
          <cell r="T732">
            <v>12.2</v>
          </cell>
          <cell r="U732">
            <v>0</v>
          </cell>
          <cell r="BA732">
            <v>105.3</v>
          </cell>
          <cell r="BB732">
            <v>0</v>
          </cell>
          <cell r="BF732" t="str">
            <v>Ok</v>
          </cell>
        </row>
        <row r="733">
          <cell r="B733" t="str">
            <v>KATE IVORY</v>
          </cell>
          <cell r="R733">
            <v>38.962499999999999</v>
          </cell>
          <cell r="S733">
            <v>910.2</v>
          </cell>
          <cell r="T733">
            <v>17.600000000000001</v>
          </cell>
          <cell r="U733">
            <v>0</v>
          </cell>
          <cell r="BA733">
            <v>927.80000000000007</v>
          </cell>
          <cell r="BB733">
            <v>0</v>
          </cell>
          <cell r="BF733" t="str">
            <v>Ok</v>
          </cell>
        </row>
        <row r="734">
          <cell r="B734" t="str">
            <v>KIBA DOMINO</v>
          </cell>
          <cell r="R734">
            <v>116</v>
          </cell>
          <cell r="S734">
            <v>466.7</v>
          </cell>
          <cell r="T734">
            <v>30.8</v>
          </cell>
          <cell r="U734">
            <v>0</v>
          </cell>
          <cell r="BA734">
            <v>497.5</v>
          </cell>
          <cell r="BB734">
            <v>0</v>
          </cell>
          <cell r="BF734" t="str">
            <v>Resurtir</v>
          </cell>
        </row>
        <row r="735">
          <cell r="B735" t="str">
            <v>KIBA EBONY</v>
          </cell>
          <cell r="R735">
            <v>179.375</v>
          </cell>
          <cell r="S735">
            <v>0</v>
          </cell>
          <cell r="T735">
            <v>6.9</v>
          </cell>
          <cell r="U735">
            <v>0</v>
          </cell>
          <cell r="BA735">
            <v>821.9</v>
          </cell>
          <cell r="BB735">
            <v>150</v>
          </cell>
          <cell r="BF735" t="str">
            <v>Ok</v>
          </cell>
        </row>
        <row r="736">
          <cell r="B736" t="str">
            <v>KIBA FLAXEN</v>
          </cell>
          <cell r="R736">
            <v>175.67500000000001</v>
          </cell>
          <cell r="S736">
            <v>3651.8</v>
          </cell>
          <cell r="T736">
            <v>45.2</v>
          </cell>
          <cell r="U736">
            <v>0</v>
          </cell>
          <cell r="BA736">
            <v>5697</v>
          </cell>
          <cell r="BB736">
            <v>450</v>
          </cell>
          <cell r="BF736" t="str">
            <v>Ok</v>
          </cell>
        </row>
        <row r="737">
          <cell r="B737" t="str">
            <v>KIBA LINEN</v>
          </cell>
          <cell r="R737">
            <v>165.52500000000001</v>
          </cell>
          <cell r="S737">
            <v>1064.9000000000001</v>
          </cell>
          <cell r="T737">
            <v>-9.02</v>
          </cell>
          <cell r="U737">
            <v>2164.3000000000002</v>
          </cell>
          <cell r="BA737">
            <v>3220.1800000000003</v>
          </cell>
          <cell r="BB737">
            <v>550</v>
          </cell>
          <cell r="BF737" t="str">
            <v>Ok</v>
          </cell>
        </row>
        <row r="738">
          <cell r="B738" t="str">
            <v>KIBA MIST</v>
          </cell>
          <cell r="R738">
            <v>286</v>
          </cell>
          <cell r="S738">
            <v>1366.9</v>
          </cell>
          <cell r="T738">
            <v>18.350000000000001</v>
          </cell>
          <cell r="U738">
            <v>1674.5</v>
          </cell>
          <cell r="BA738">
            <v>3059.75</v>
          </cell>
          <cell r="BB738">
            <v>900</v>
          </cell>
          <cell r="BF738" t="str">
            <v>Ok</v>
          </cell>
        </row>
        <row r="739">
          <cell r="B739" t="str">
            <v>KIBA ONYX</v>
          </cell>
          <cell r="R739">
            <v>50.724999999999994</v>
          </cell>
          <cell r="S739">
            <v>1058.7</v>
          </cell>
          <cell r="T739">
            <v>49.68</v>
          </cell>
          <cell r="U739">
            <v>1785.7</v>
          </cell>
          <cell r="BA739">
            <v>2894.08</v>
          </cell>
          <cell r="BB739">
            <v>0</v>
          </cell>
          <cell r="BF739" t="str">
            <v>Ok</v>
          </cell>
        </row>
        <row r="740">
          <cell r="B740" t="str">
            <v>KIBA POOL</v>
          </cell>
          <cell r="R740">
            <v>2.25</v>
          </cell>
          <cell r="S740">
            <v>194.7</v>
          </cell>
          <cell r="T740">
            <v>19.899999999999999</v>
          </cell>
          <cell r="U740">
            <v>791.7</v>
          </cell>
          <cell r="BA740">
            <v>1006.3000000000001</v>
          </cell>
          <cell r="BB740">
            <v>0</v>
          </cell>
          <cell r="BF740" t="str">
            <v>Ok</v>
          </cell>
        </row>
        <row r="741">
          <cell r="B741" t="str">
            <v>KIBA QUARRY</v>
          </cell>
          <cell r="R741">
            <v>51.225000000000001</v>
          </cell>
          <cell r="S741">
            <v>536.1</v>
          </cell>
          <cell r="T741">
            <v>17.8</v>
          </cell>
          <cell r="U741">
            <v>0</v>
          </cell>
          <cell r="BA741">
            <v>553.9</v>
          </cell>
          <cell r="BB741">
            <v>0</v>
          </cell>
          <cell r="BF741" t="str">
            <v>Ok</v>
          </cell>
        </row>
        <row r="742">
          <cell r="B742" t="str">
            <v>KIBA ROSE</v>
          </cell>
          <cell r="R742">
            <v>1.75</v>
          </cell>
          <cell r="S742">
            <v>442.28</v>
          </cell>
          <cell r="T742">
            <v>10.55</v>
          </cell>
          <cell r="U742">
            <v>805.4</v>
          </cell>
          <cell r="BA742">
            <v>1258.23</v>
          </cell>
          <cell r="BB742">
            <v>0</v>
          </cell>
          <cell r="BF742" t="str">
            <v>Ok</v>
          </cell>
        </row>
        <row r="743">
          <cell r="B743" t="str">
            <v>KIBA TITANIUM</v>
          </cell>
          <cell r="R743">
            <v>15.525</v>
          </cell>
          <cell r="S743">
            <v>1432.8</v>
          </cell>
          <cell r="T743">
            <v>11.6</v>
          </cell>
          <cell r="U743">
            <v>821.7</v>
          </cell>
          <cell r="BA743">
            <v>2266.1</v>
          </cell>
          <cell r="BB743">
            <v>0</v>
          </cell>
          <cell r="BF743" t="str">
            <v>Ok</v>
          </cell>
        </row>
        <row r="744">
          <cell r="B744" t="str">
            <v>KIMANA AQUA</v>
          </cell>
          <cell r="R744">
            <v>6.125</v>
          </cell>
          <cell r="S744">
            <v>120.6</v>
          </cell>
          <cell r="T744">
            <v>17.5</v>
          </cell>
          <cell r="U744">
            <v>0</v>
          </cell>
          <cell r="BA744">
            <v>138.1</v>
          </cell>
          <cell r="BB744">
            <v>0</v>
          </cell>
          <cell r="BF744" t="str">
            <v>Ok</v>
          </cell>
        </row>
        <row r="745">
          <cell r="B745" t="str">
            <v>KIMANA CITRUS</v>
          </cell>
          <cell r="R745">
            <v>0</v>
          </cell>
          <cell r="S745">
            <v>43.9</v>
          </cell>
          <cell r="T745">
            <v>0</v>
          </cell>
          <cell r="U745">
            <v>0</v>
          </cell>
          <cell r="BA745">
            <v>43.9</v>
          </cell>
          <cell r="BB745">
            <v>0</v>
          </cell>
          <cell r="BF745" t="str">
            <v>Ok</v>
          </cell>
        </row>
        <row r="746">
          <cell r="B746" t="str">
            <v>KIPTON ECRU</v>
          </cell>
          <cell r="R746">
            <v>25.400000000000002</v>
          </cell>
          <cell r="S746">
            <v>112.7</v>
          </cell>
          <cell r="T746">
            <v>26.1</v>
          </cell>
          <cell r="U746">
            <v>0</v>
          </cell>
          <cell r="BA746">
            <v>138.80000000000001</v>
          </cell>
          <cell r="BB746">
            <v>0</v>
          </cell>
          <cell r="BF746" t="str">
            <v>Ok</v>
          </cell>
        </row>
        <row r="747">
          <cell r="B747" t="str">
            <v>KIPTON PEPPER</v>
          </cell>
          <cell r="R747">
            <v>13.025</v>
          </cell>
          <cell r="S747">
            <v>32.700000000000003</v>
          </cell>
          <cell r="T747">
            <v>51.6</v>
          </cell>
          <cell r="U747">
            <v>0</v>
          </cell>
          <cell r="BA747">
            <v>184.3</v>
          </cell>
          <cell r="BB747">
            <v>0</v>
          </cell>
          <cell r="BF747" t="str">
            <v>Ok</v>
          </cell>
        </row>
        <row r="748">
          <cell r="B748" t="str">
            <v>KIRA ECRU</v>
          </cell>
          <cell r="R748">
            <v>68.125</v>
          </cell>
          <cell r="S748">
            <v>413.9</v>
          </cell>
          <cell r="T748">
            <v>49.8</v>
          </cell>
          <cell r="U748">
            <v>0</v>
          </cell>
          <cell r="BA748">
            <v>913.7</v>
          </cell>
          <cell r="BB748">
            <v>150</v>
          </cell>
          <cell r="BF748" t="str">
            <v>Ok</v>
          </cell>
        </row>
        <row r="749">
          <cell r="B749" t="str">
            <v>KIRA IVORY</v>
          </cell>
          <cell r="R749">
            <v>67.625</v>
          </cell>
          <cell r="S749">
            <v>20.5</v>
          </cell>
          <cell r="T749">
            <v>5.8</v>
          </cell>
          <cell r="U749">
            <v>0</v>
          </cell>
          <cell r="BA749">
            <v>1076.3</v>
          </cell>
          <cell r="BB749">
            <v>0</v>
          </cell>
          <cell r="BF749" t="str">
            <v>Ok</v>
          </cell>
        </row>
        <row r="750">
          <cell r="B750" t="str">
            <v>KIRA NICKEL</v>
          </cell>
          <cell r="R750">
            <v>2.25</v>
          </cell>
          <cell r="S750">
            <v>577.5</v>
          </cell>
          <cell r="T750">
            <v>0</v>
          </cell>
          <cell r="U750">
            <v>0</v>
          </cell>
          <cell r="BA750">
            <v>577.5</v>
          </cell>
          <cell r="BB750">
            <v>0</v>
          </cell>
          <cell r="BF750" t="str">
            <v>Ok</v>
          </cell>
        </row>
        <row r="751">
          <cell r="B751" t="str">
            <v>KORI SERENITY</v>
          </cell>
          <cell r="R751">
            <v>42.037499999999994</v>
          </cell>
          <cell r="S751">
            <v>39.700000000000003</v>
          </cell>
          <cell r="T751">
            <v>19.399999999999999</v>
          </cell>
          <cell r="U751">
            <v>0</v>
          </cell>
          <cell r="BA751">
            <v>59.1</v>
          </cell>
          <cell r="BB751">
            <v>200</v>
          </cell>
          <cell r="BF751" t="str">
            <v>Resurtir</v>
          </cell>
        </row>
        <row r="752">
          <cell r="B752" t="str">
            <v>LAKAI TEAL</v>
          </cell>
          <cell r="R752">
            <v>0</v>
          </cell>
          <cell r="S752">
            <v>0</v>
          </cell>
          <cell r="T752">
            <v>5.2</v>
          </cell>
          <cell r="U752">
            <v>0</v>
          </cell>
          <cell r="BA752">
            <v>5.2</v>
          </cell>
          <cell r="BB752">
            <v>0</v>
          </cell>
          <cell r="BF752" t="str">
            <v>Ok</v>
          </cell>
        </row>
        <row r="753">
          <cell r="B753" t="str">
            <v>LANDSCAPE CANYON</v>
          </cell>
          <cell r="R753">
            <v>0</v>
          </cell>
          <cell r="S753">
            <v>131</v>
          </cell>
          <cell r="T753">
            <v>0</v>
          </cell>
          <cell r="U753">
            <v>0</v>
          </cell>
          <cell r="BA753">
            <v>131</v>
          </cell>
          <cell r="BB753">
            <v>0</v>
          </cell>
          <cell r="BF753" t="str">
            <v>Ok</v>
          </cell>
        </row>
        <row r="754">
          <cell r="B754" t="str">
            <v>LANDSCAPE NAVY</v>
          </cell>
          <cell r="R754">
            <v>0</v>
          </cell>
          <cell r="S754">
            <v>96.7</v>
          </cell>
          <cell r="T754">
            <v>17.100000000000001</v>
          </cell>
          <cell r="U754">
            <v>0</v>
          </cell>
          <cell r="BA754">
            <v>113.80000000000001</v>
          </cell>
          <cell r="BB754">
            <v>0</v>
          </cell>
          <cell r="BF754" t="str">
            <v>Ok</v>
          </cell>
        </row>
        <row r="755">
          <cell r="B755" t="str">
            <v>LANDSCAPE OYSTER</v>
          </cell>
          <cell r="R755">
            <v>1.5</v>
          </cell>
          <cell r="S755">
            <v>69.7</v>
          </cell>
          <cell r="T755">
            <v>0</v>
          </cell>
          <cell r="U755">
            <v>101.4</v>
          </cell>
          <cell r="BA755">
            <v>171.10000000000002</v>
          </cell>
          <cell r="BB755">
            <v>0</v>
          </cell>
          <cell r="BF755" t="str">
            <v>Ok</v>
          </cell>
        </row>
        <row r="756">
          <cell r="B756" t="str">
            <v>LAYLA DOUBLE FLAX</v>
          </cell>
          <cell r="R756">
            <v>298.25</v>
          </cell>
          <cell r="S756">
            <v>1052.5</v>
          </cell>
          <cell r="T756">
            <v>71.2</v>
          </cell>
          <cell r="U756">
            <v>43</v>
          </cell>
          <cell r="BA756">
            <v>1166.7</v>
          </cell>
          <cell r="BB756">
            <v>0</v>
          </cell>
          <cell r="BF756" t="str">
            <v>Resurtir</v>
          </cell>
        </row>
        <row r="757">
          <cell r="B757" t="str">
            <v>LAYLA DOUBLE OYSTER</v>
          </cell>
          <cell r="R757">
            <v>83.912499999999994</v>
          </cell>
          <cell r="S757">
            <v>23.2</v>
          </cell>
          <cell r="T757">
            <v>78.400000000000006</v>
          </cell>
          <cell r="U757">
            <v>715</v>
          </cell>
          <cell r="BA757">
            <v>816.6</v>
          </cell>
          <cell r="BB757">
            <v>0</v>
          </cell>
          <cell r="BF757" t="str">
            <v>Ok</v>
          </cell>
        </row>
        <row r="758">
          <cell r="B758" t="str">
            <v>LAYLA DOUBLE SNOW</v>
          </cell>
          <cell r="R758">
            <v>6.5</v>
          </cell>
          <cell r="S758">
            <v>284</v>
          </cell>
          <cell r="T758">
            <v>47.1</v>
          </cell>
          <cell r="U758">
            <v>123</v>
          </cell>
          <cell r="BA758">
            <v>454.1</v>
          </cell>
          <cell r="BB758">
            <v>0</v>
          </cell>
          <cell r="BF758" t="str">
            <v>Ok</v>
          </cell>
        </row>
        <row r="759">
          <cell r="B759" t="str">
            <v>LAYLA DOUBLE STEEL</v>
          </cell>
          <cell r="R759">
            <v>4.375</v>
          </cell>
          <cell r="S759">
            <v>496</v>
          </cell>
          <cell r="T759">
            <v>35</v>
          </cell>
          <cell r="U759">
            <v>0</v>
          </cell>
          <cell r="BA759">
            <v>531</v>
          </cell>
          <cell r="BB759">
            <v>0</v>
          </cell>
          <cell r="BF759" t="str">
            <v>Ok</v>
          </cell>
        </row>
        <row r="760">
          <cell r="B760" t="str">
            <v>LAYLA SNOW</v>
          </cell>
          <cell r="R760">
            <v>0</v>
          </cell>
          <cell r="S760">
            <v>315</v>
          </cell>
          <cell r="T760">
            <v>40.5</v>
          </cell>
          <cell r="U760">
            <v>0</v>
          </cell>
          <cell r="BA760">
            <v>355.5</v>
          </cell>
          <cell r="BB760">
            <v>0</v>
          </cell>
          <cell r="BF760" t="str">
            <v>Ok</v>
          </cell>
        </row>
        <row r="761">
          <cell r="B761" t="str">
            <v>LAYLA STEEL</v>
          </cell>
          <cell r="R761">
            <v>50.25</v>
          </cell>
          <cell r="S761">
            <v>292</v>
          </cell>
          <cell r="T761">
            <v>13.4</v>
          </cell>
          <cell r="U761">
            <v>0</v>
          </cell>
          <cell r="BA761">
            <v>305.39999999999998</v>
          </cell>
          <cell r="BB761">
            <v>150</v>
          </cell>
          <cell r="BF761" t="str">
            <v>Ok</v>
          </cell>
        </row>
        <row r="762">
          <cell r="B762" t="str">
            <v>LEGACY BARK</v>
          </cell>
          <cell r="R762">
            <v>0.72499999999999998</v>
          </cell>
          <cell r="S762">
            <v>566</v>
          </cell>
          <cell r="T762">
            <v>28.2</v>
          </cell>
          <cell r="U762">
            <v>0</v>
          </cell>
          <cell r="BA762">
            <v>594.20000000000005</v>
          </cell>
          <cell r="BB762">
            <v>0</v>
          </cell>
          <cell r="BF762" t="str">
            <v>Ok</v>
          </cell>
        </row>
        <row r="763">
          <cell r="B763" t="str">
            <v>LEGACY BLACK</v>
          </cell>
          <cell r="R763">
            <v>15</v>
          </cell>
          <cell r="S763">
            <v>728.1</v>
          </cell>
          <cell r="T763">
            <v>11.2</v>
          </cell>
          <cell r="U763">
            <v>0</v>
          </cell>
          <cell r="BA763">
            <v>739.30000000000007</v>
          </cell>
          <cell r="BB763">
            <v>0</v>
          </cell>
          <cell r="BF763" t="str">
            <v>Ok</v>
          </cell>
        </row>
        <row r="764">
          <cell r="B764" t="str">
            <v>LEGACY CREAM</v>
          </cell>
          <cell r="R764">
            <v>57.725000000000001</v>
          </cell>
          <cell r="S764">
            <v>262.2</v>
          </cell>
          <cell r="T764">
            <v>25.7</v>
          </cell>
          <cell r="U764">
            <v>0</v>
          </cell>
          <cell r="BA764">
            <v>287.89999999999998</v>
          </cell>
          <cell r="BB764">
            <v>100</v>
          </cell>
          <cell r="BF764" t="str">
            <v>Ok</v>
          </cell>
        </row>
        <row r="765">
          <cell r="B765" t="str">
            <v>LEGACY ECRU</v>
          </cell>
          <cell r="R765">
            <v>28.85</v>
          </cell>
          <cell r="S765">
            <v>309.8</v>
          </cell>
          <cell r="T765">
            <v>0</v>
          </cell>
          <cell r="U765">
            <v>0</v>
          </cell>
          <cell r="BA765">
            <v>309.8</v>
          </cell>
          <cell r="BB765">
            <v>0</v>
          </cell>
          <cell r="BF765" t="str">
            <v>Ok</v>
          </cell>
        </row>
        <row r="766">
          <cell r="B766" t="str">
            <v>LEGACY LATTE</v>
          </cell>
          <cell r="R766">
            <v>44.125</v>
          </cell>
          <cell r="S766">
            <v>570.94000000000005</v>
          </cell>
          <cell r="T766">
            <v>14</v>
          </cell>
          <cell r="U766">
            <v>0</v>
          </cell>
          <cell r="BA766">
            <v>584.94000000000005</v>
          </cell>
          <cell r="BB766">
            <v>0</v>
          </cell>
          <cell r="BF766" t="str">
            <v>Ok</v>
          </cell>
        </row>
        <row r="767">
          <cell r="B767" t="str">
            <v>LEGACY NICKEL</v>
          </cell>
          <cell r="R767">
            <v>14.625</v>
          </cell>
          <cell r="S767">
            <v>153.1</v>
          </cell>
          <cell r="T767">
            <v>17.3</v>
          </cell>
          <cell r="U767">
            <v>195.4</v>
          </cell>
          <cell r="BA767">
            <v>365.8</v>
          </cell>
          <cell r="BB767">
            <v>90</v>
          </cell>
          <cell r="BF767" t="str">
            <v>Ok</v>
          </cell>
        </row>
        <row r="768">
          <cell r="B768" t="str">
            <v>LEGACY SILVER</v>
          </cell>
          <cell r="R768">
            <v>4.125</v>
          </cell>
          <cell r="S768">
            <v>236.4</v>
          </cell>
          <cell r="T768">
            <v>31.8</v>
          </cell>
          <cell r="U768">
            <v>0</v>
          </cell>
          <cell r="BA768">
            <v>268.2</v>
          </cell>
          <cell r="BB768">
            <v>0</v>
          </cell>
          <cell r="BF768" t="str">
            <v>Ok</v>
          </cell>
        </row>
        <row r="769">
          <cell r="B769" t="str">
            <v>LEGACY SNOW</v>
          </cell>
          <cell r="R769">
            <v>51.3</v>
          </cell>
          <cell r="S769">
            <v>626.29999999999995</v>
          </cell>
          <cell r="T769">
            <v>35</v>
          </cell>
          <cell r="U769">
            <v>0</v>
          </cell>
          <cell r="BA769">
            <v>661.3</v>
          </cell>
          <cell r="BB769">
            <v>90</v>
          </cell>
          <cell r="BF769" t="str">
            <v>Ok</v>
          </cell>
        </row>
        <row r="770">
          <cell r="B770" t="str">
            <v>LEGACY TERRA</v>
          </cell>
          <cell r="R770">
            <v>7.7</v>
          </cell>
          <cell r="S770">
            <v>415.5</v>
          </cell>
          <cell r="T770">
            <v>5.3</v>
          </cell>
          <cell r="U770">
            <v>0</v>
          </cell>
          <cell r="BA770">
            <v>420.8</v>
          </cell>
          <cell r="BB770">
            <v>0</v>
          </cell>
          <cell r="BF770" t="str">
            <v>Ok</v>
          </cell>
        </row>
        <row r="771">
          <cell r="B771" t="str">
            <v>LENA BITTER</v>
          </cell>
          <cell r="R771">
            <v>4.7750000000000004</v>
          </cell>
          <cell r="S771">
            <v>85</v>
          </cell>
          <cell r="T771">
            <v>70.55</v>
          </cell>
          <cell r="U771">
            <v>0</v>
          </cell>
          <cell r="BA771">
            <v>155.55000000000001</v>
          </cell>
          <cell r="BB771">
            <v>0</v>
          </cell>
          <cell r="BF771" t="str">
            <v>Ok</v>
          </cell>
        </row>
        <row r="772">
          <cell r="B772" t="str">
            <v>LENA ECRU</v>
          </cell>
          <cell r="R772">
            <v>69.525000000000006</v>
          </cell>
          <cell r="S772">
            <v>228.5</v>
          </cell>
          <cell r="T772">
            <v>44.95</v>
          </cell>
          <cell r="U772">
            <v>212</v>
          </cell>
          <cell r="BA772">
            <v>485.45</v>
          </cell>
          <cell r="BB772">
            <v>0</v>
          </cell>
          <cell r="BF772" t="str">
            <v>Ok</v>
          </cell>
        </row>
        <row r="773">
          <cell r="B773" t="str">
            <v>LENA IVORY</v>
          </cell>
          <cell r="R773">
            <v>53.75</v>
          </cell>
          <cell r="S773">
            <v>1077.5</v>
          </cell>
          <cell r="T773">
            <v>62.2</v>
          </cell>
          <cell r="U773">
            <v>0</v>
          </cell>
          <cell r="BA773">
            <v>1139.7</v>
          </cell>
          <cell r="BB773">
            <v>0</v>
          </cell>
          <cell r="BF773" t="str">
            <v>Ok</v>
          </cell>
        </row>
        <row r="774">
          <cell r="B774" t="str">
            <v>LIA BITTER</v>
          </cell>
          <cell r="R774">
            <v>1.25</v>
          </cell>
          <cell r="S774">
            <v>227.65</v>
          </cell>
          <cell r="T774">
            <v>0</v>
          </cell>
          <cell r="U774">
            <v>0</v>
          </cell>
          <cell r="BA774">
            <v>227.65</v>
          </cell>
          <cell r="BB774">
            <v>0</v>
          </cell>
          <cell r="BF774" t="str">
            <v>Ok</v>
          </cell>
        </row>
        <row r="775">
          <cell r="B775" t="str">
            <v>LIA ECRU</v>
          </cell>
          <cell r="R775">
            <v>28.625</v>
          </cell>
          <cell r="S775">
            <v>86.5</v>
          </cell>
          <cell r="T775">
            <v>27.65</v>
          </cell>
          <cell r="U775">
            <v>0</v>
          </cell>
          <cell r="BA775">
            <v>623.15</v>
          </cell>
          <cell r="BB775">
            <v>0</v>
          </cell>
          <cell r="BF775" t="str">
            <v>Ok</v>
          </cell>
        </row>
        <row r="776">
          <cell r="B776" t="str">
            <v>LIA LINEN</v>
          </cell>
          <cell r="R776">
            <v>29.825000000000003</v>
          </cell>
          <cell r="S776">
            <v>445.35</v>
          </cell>
          <cell r="T776">
            <v>0</v>
          </cell>
          <cell r="U776">
            <v>0</v>
          </cell>
          <cell r="BA776">
            <v>445.35</v>
          </cell>
          <cell r="BB776">
            <v>0</v>
          </cell>
          <cell r="BF776" t="str">
            <v>Ok</v>
          </cell>
        </row>
        <row r="777">
          <cell r="B777" t="str">
            <v>LIBERTA LINEN</v>
          </cell>
          <cell r="R777">
            <v>1.75</v>
          </cell>
          <cell r="S777">
            <v>341.2</v>
          </cell>
          <cell r="T777">
            <v>14.2</v>
          </cell>
          <cell r="U777">
            <v>247.5</v>
          </cell>
          <cell r="BA777">
            <v>602.9</v>
          </cell>
          <cell r="BB777">
            <v>0</v>
          </cell>
          <cell r="BF777" t="str">
            <v>Ok</v>
          </cell>
        </row>
        <row r="778">
          <cell r="B778" t="str">
            <v>LIFEGUARD DENIM</v>
          </cell>
          <cell r="R778">
            <v>7.5</v>
          </cell>
          <cell r="S778">
            <v>186.9</v>
          </cell>
          <cell r="T778">
            <v>7.6</v>
          </cell>
          <cell r="U778">
            <v>0</v>
          </cell>
          <cell r="BA778">
            <v>194.5</v>
          </cell>
          <cell r="BB778">
            <v>0</v>
          </cell>
          <cell r="BF778" t="str">
            <v>Ok</v>
          </cell>
        </row>
        <row r="779">
          <cell r="B779" t="str">
            <v>LIFEGUARD DOVE</v>
          </cell>
          <cell r="R779">
            <v>15.375</v>
          </cell>
          <cell r="S779">
            <v>223.3</v>
          </cell>
          <cell r="T779">
            <v>18.940000000000001</v>
          </cell>
          <cell r="U779">
            <v>0</v>
          </cell>
          <cell r="BA779">
            <v>242.24</v>
          </cell>
          <cell r="BB779">
            <v>0</v>
          </cell>
          <cell r="BF779" t="str">
            <v>Ok</v>
          </cell>
        </row>
        <row r="780">
          <cell r="B780" t="str">
            <v>LIFEGUARD HARBOR</v>
          </cell>
          <cell r="R780">
            <v>4.2249999999999996</v>
          </cell>
          <cell r="S780">
            <v>153.5</v>
          </cell>
          <cell r="T780">
            <v>5.15</v>
          </cell>
          <cell r="U780">
            <v>0</v>
          </cell>
          <cell r="BA780">
            <v>158.65</v>
          </cell>
          <cell r="BB780">
            <v>0</v>
          </cell>
          <cell r="BF780" t="str">
            <v>Ok</v>
          </cell>
        </row>
        <row r="781">
          <cell r="B781" t="str">
            <v>LIFEGUARD MIST</v>
          </cell>
          <cell r="R781">
            <v>36.662500000000001</v>
          </cell>
          <cell r="S781">
            <v>124.15</v>
          </cell>
          <cell r="T781">
            <v>0</v>
          </cell>
          <cell r="U781">
            <v>0</v>
          </cell>
          <cell r="BA781">
            <v>324.14999999999998</v>
          </cell>
          <cell r="BB781">
            <v>0</v>
          </cell>
          <cell r="BF781" t="str">
            <v>Ok</v>
          </cell>
        </row>
        <row r="782">
          <cell r="B782" t="str">
            <v>LIFEGUARD OYSTER</v>
          </cell>
          <cell r="R782">
            <v>0</v>
          </cell>
          <cell r="S782">
            <v>264</v>
          </cell>
          <cell r="T782">
            <v>0</v>
          </cell>
          <cell r="U782">
            <v>0</v>
          </cell>
          <cell r="BA782">
            <v>264</v>
          </cell>
          <cell r="BB782">
            <v>0</v>
          </cell>
          <cell r="BF782" t="str">
            <v>Ok</v>
          </cell>
        </row>
        <row r="783">
          <cell r="B783" t="str">
            <v>LIFEGUARD PEARL</v>
          </cell>
          <cell r="R783">
            <v>12.525</v>
          </cell>
          <cell r="S783">
            <v>225.5</v>
          </cell>
          <cell r="T783">
            <v>5.7</v>
          </cell>
          <cell r="U783">
            <v>0</v>
          </cell>
          <cell r="BA783">
            <v>231.2</v>
          </cell>
          <cell r="BB783">
            <v>0</v>
          </cell>
          <cell r="BF783" t="str">
            <v>Ok</v>
          </cell>
        </row>
        <row r="784">
          <cell r="B784" t="str">
            <v>LIFEGUARD STEEL</v>
          </cell>
          <cell r="R784">
            <v>6.05</v>
          </cell>
          <cell r="S784">
            <v>399.4</v>
          </cell>
          <cell r="T784">
            <v>31.74</v>
          </cell>
          <cell r="U784">
            <v>0</v>
          </cell>
          <cell r="BA784">
            <v>431.14</v>
          </cell>
          <cell r="BB784">
            <v>0</v>
          </cell>
          <cell r="BF784" t="str">
            <v>Ok</v>
          </cell>
        </row>
        <row r="785">
          <cell r="B785" t="str">
            <v>LIFEGUARD TAUPE</v>
          </cell>
          <cell r="R785">
            <v>6.5</v>
          </cell>
          <cell r="S785">
            <v>131.4</v>
          </cell>
          <cell r="T785">
            <v>10</v>
          </cell>
          <cell r="U785">
            <v>266.3</v>
          </cell>
          <cell r="BA785">
            <v>407.70000000000005</v>
          </cell>
          <cell r="BB785">
            <v>0</v>
          </cell>
          <cell r="BF785" t="str">
            <v>Ok</v>
          </cell>
        </row>
        <row r="786">
          <cell r="B786" t="str">
            <v>LINUS CEMENT</v>
          </cell>
          <cell r="R786">
            <v>37.370000000000005</v>
          </cell>
          <cell r="S786">
            <v>39.29</v>
          </cell>
          <cell r="T786">
            <v>24.73</v>
          </cell>
          <cell r="U786">
            <v>0</v>
          </cell>
          <cell r="BA786">
            <v>209.01999999999998</v>
          </cell>
          <cell r="BB786">
            <v>150</v>
          </cell>
          <cell r="BF786" t="str">
            <v>Ok</v>
          </cell>
        </row>
        <row r="787">
          <cell r="B787" t="str">
            <v>LINUS CHARCOAL</v>
          </cell>
          <cell r="R787">
            <v>16.55</v>
          </cell>
          <cell r="S787">
            <v>223.7</v>
          </cell>
          <cell r="T787">
            <v>0</v>
          </cell>
          <cell r="U787">
            <v>0</v>
          </cell>
          <cell r="BA787">
            <v>223.7</v>
          </cell>
          <cell r="BB787">
            <v>0</v>
          </cell>
          <cell r="BF787" t="str">
            <v>Ok</v>
          </cell>
        </row>
        <row r="788">
          <cell r="B788" t="str">
            <v>LINUS INDIGO</v>
          </cell>
          <cell r="R788">
            <v>8.75</v>
          </cell>
          <cell r="S788">
            <v>0</v>
          </cell>
          <cell r="T788">
            <v>-6.59</v>
          </cell>
          <cell r="U788">
            <v>48.01</v>
          </cell>
          <cell r="BA788">
            <v>90.42</v>
          </cell>
          <cell r="BB788">
            <v>150</v>
          </cell>
          <cell r="BF788" t="str">
            <v>Resurtir</v>
          </cell>
        </row>
        <row r="789">
          <cell r="B789" t="str">
            <v>LINUS TOMATO</v>
          </cell>
          <cell r="R789">
            <v>8.125</v>
          </cell>
          <cell r="S789">
            <v>26.1</v>
          </cell>
          <cell r="T789">
            <v>11.05</v>
          </cell>
          <cell r="U789">
            <v>0</v>
          </cell>
          <cell r="BA789">
            <v>85.15</v>
          </cell>
          <cell r="BB789">
            <v>150</v>
          </cell>
          <cell r="BF789" t="str">
            <v>Resurtir</v>
          </cell>
        </row>
        <row r="790">
          <cell r="B790" t="str">
            <v>LIVORNO FLAX</v>
          </cell>
          <cell r="R790">
            <v>5.125</v>
          </cell>
          <cell r="S790">
            <v>71.5</v>
          </cell>
          <cell r="T790">
            <v>33.9</v>
          </cell>
          <cell r="U790">
            <v>42.6</v>
          </cell>
          <cell r="BA790">
            <v>148</v>
          </cell>
          <cell r="BB790">
            <v>100</v>
          </cell>
          <cell r="BF790" t="str">
            <v>Ok</v>
          </cell>
        </row>
        <row r="791">
          <cell r="B791" t="str">
            <v>LIVORNO MERCURY</v>
          </cell>
          <cell r="R791">
            <v>0</v>
          </cell>
          <cell r="S791">
            <v>34.9</v>
          </cell>
          <cell r="T791">
            <v>18.7</v>
          </cell>
          <cell r="U791">
            <v>0</v>
          </cell>
          <cell r="BA791">
            <v>53.599999999999994</v>
          </cell>
          <cell r="BB791">
            <v>0</v>
          </cell>
          <cell r="BF791" t="str">
            <v>Ok</v>
          </cell>
        </row>
        <row r="792">
          <cell r="B792" t="str">
            <v>LIVORNO PACIFIC</v>
          </cell>
          <cell r="R792">
            <v>0.25</v>
          </cell>
          <cell r="S792">
            <v>116.8</v>
          </cell>
          <cell r="T792">
            <v>0</v>
          </cell>
          <cell r="U792">
            <v>0</v>
          </cell>
          <cell r="BA792">
            <v>116.8</v>
          </cell>
          <cell r="BB792">
            <v>0</v>
          </cell>
          <cell r="BF792" t="str">
            <v>Ok</v>
          </cell>
        </row>
        <row r="793">
          <cell r="B793" t="str">
            <v>LLOYD CORNSILK</v>
          </cell>
          <cell r="R793">
            <v>4.125</v>
          </cell>
          <cell r="S793">
            <v>411.41</v>
          </cell>
          <cell r="T793">
            <v>6.5</v>
          </cell>
          <cell r="U793">
            <v>0</v>
          </cell>
          <cell r="BA793">
            <v>563.91000000000008</v>
          </cell>
          <cell r="BB793">
            <v>0</v>
          </cell>
          <cell r="BF793" t="str">
            <v>Ok</v>
          </cell>
        </row>
        <row r="794">
          <cell r="B794" t="str">
            <v>LLOYD LAPIS</v>
          </cell>
          <cell r="R794">
            <v>3.25</v>
          </cell>
          <cell r="S794">
            <v>35.15</v>
          </cell>
          <cell r="T794">
            <v>0</v>
          </cell>
          <cell r="U794">
            <v>0</v>
          </cell>
          <cell r="BA794">
            <v>35.15</v>
          </cell>
          <cell r="BB794">
            <v>0</v>
          </cell>
          <cell r="BF794" t="str">
            <v>Ok</v>
          </cell>
        </row>
        <row r="795">
          <cell r="B795" t="str">
            <v>LOFT CARAMEL</v>
          </cell>
          <cell r="R795">
            <v>6.875</v>
          </cell>
          <cell r="S795">
            <v>171.37</v>
          </cell>
          <cell r="T795">
            <v>0</v>
          </cell>
          <cell r="U795">
            <v>51.85</v>
          </cell>
          <cell r="BA795">
            <v>223.22</v>
          </cell>
          <cell r="BB795">
            <v>0</v>
          </cell>
          <cell r="BF795" t="str">
            <v>Ok</v>
          </cell>
        </row>
        <row r="796">
          <cell r="B796" t="str">
            <v>LORAX IVORY</v>
          </cell>
          <cell r="R796">
            <v>40.850000000000009</v>
          </cell>
          <cell r="S796">
            <v>181.4</v>
          </cell>
          <cell r="T796">
            <v>26.3</v>
          </cell>
          <cell r="U796">
            <v>0</v>
          </cell>
          <cell r="BA796">
            <v>207.70000000000002</v>
          </cell>
          <cell r="BB796">
            <v>0</v>
          </cell>
          <cell r="BF796" t="str">
            <v>Ok</v>
          </cell>
        </row>
        <row r="797">
          <cell r="B797" t="str">
            <v>LORAX MUSTARD</v>
          </cell>
          <cell r="R797">
            <v>21.900000000000002</v>
          </cell>
          <cell r="S797">
            <v>0</v>
          </cell>
          <cell r="T797">
            <v>18.5</v>
          </cell>
          <cell r="U797">
            <v>0</v>
          </cell>
          <cell r="BA797">
            <v>118.5</v>
          </cell>
          <cell r="BB797">
            <v>0</v>
          </cell>
          <cell r="BF797" t="str">
            <v>Ok</v>
          </cell>
        </row>
        <row r="798">
          <cell r="B798" t="str">
            <v>LORAX OLIVE</v>
          </cell>
          <cell r="R798">
            <v>52.649999999999991</v>
          </cell>
          <cell r="S798">
            <v>0</v>
          </cell>
          <cell r="T798">
            <v>38.4</v>
          </cell>
          <cell r="U798">
            <v>0</v>
          </cell>
          <cell r="BA798">
            <v>360.4</v>
          </cell>
          <cell r="BB798">
            <v>120</v>
          </cell>
          <cell r="BF798" t="str">
            <v>Ok</v>
          </cell>
        </row>
        <row r="799">
          <cell r="B799" t="str">
            <v>LOVEGOOD BISQUE</v>
          </cell>
          <cell r="R799">
            <v>42.4</v>
          </cell>
          <cell r="S799">
            <v>34.700000000000003</v>
          </cell>
          <cell r="T799">
            <v>20.399999999999999</v>
          </cell>
          <cell r="U799">
            <v>0</v>
          </cell>
          <cell r="BA799">
            <v>289.10000000000002</v>
          </cell>
          <cell r="BB799">
            <v>50</v>
          </cell>
          <cell r="BF799" t="str">
            <v>Ok</v>
          </cell>
        </row>
        <row r="800">
          <cell r="B800" t="str">
            <v>LOVEGOOD KOHL</v>
          </cell>
          <cell r="R800">
            <v>1.25</v>
          </cell>
          <cell r="S800">
            <v>125</v>
          </cell>
          <cell r="T800">
            <v>25.6</v>
          </cell>
          <cell r="U800">
            <v>0</v>
          </cell>
          <cell r="BA800">
            <v>150.6</v>
          </cell>
          <cell r="BB800">
            <v>0</v>
          </cell>
          <cell r="BF800" t="str">
            <v>Ok</v>
          </cell>
        </row>
        <row r="801">
          <cell r="B801" t="str">
            <v>LOVEGOOD OAT</v>
          </cell>
          <cell r="R801">
            <v>10.75</v>
          </cell>
          <cell r="S801">
            <v>204.6</v>
          </cell>
          <cell r="T801">
            <v>54</v>
          </cell>
          <cell r="U801">
            <v>0</v>
          </cell>
          <cell r="BA801">
            <v>258.60000000000002</v>
          </cell>
          <cell r="BB801">
            <v>0</v>
          </cell>
          <cell r="BF801" t="str">
            <v>Ok</v>
          </cell>
        </row>
        <row r="802">
          <cell r="B802" t="str">
            <v>LOVEME BLACK</v>
          </cell>
          <cell r="R802">
            <v>36.375</v>
          </cell>
          <cell r="S802">
            <v>38.9</v>
          </cell>
          <cell r="T802">
            <v>21.4</v>
          </cell>
          <cell r="U802">
            <v>0</v>
          </cell>
          <cell r="BA802">
            <v>560.29999999999995</v>
          </cell>
          <cell r="BB802">
            <v>0</v>
          </cell>
          <cell r="BF802" t="str">
            <v>Ok</v>
          </cell>
        </row>
        <row r="803">
          <cell r="B803" t="str">
            <v>LOVEME COTTON</v>
          </cell>
          <cell r="R803">
            <v>104.72500000000001</v>
          </cell>
          <cell r="S803">
            <v>157.30000000000001</v>
          </cell>
          <cell r="T803">
            <v>5</v>
          </cell>
          <cell r="U803">
            <v>0</v>
          </cell>
          <cell r="BA803">
            <v>662.3</v>
          </cell>
          <cell r="BB803">
            <v>30</v>
          </cell>
          <cell r="BF803" t="str">
            <v>Ok</v>
          </cell>
        </row>
        <row r="804">
          <cell r="B804" t="str">
            <v>LOVEME SAND</v>
          </cell>
          <cell r="R804">
            <v>93.8</v>
          </cell>
          <cell r="S804">
            <v>40</v>
          </cell>
          <cell r="T804">
            <v>21</v>
          </cell>
          <cell r="U804">
            <v>0</v>
          </cell>
          <cell r="BA804">
            <v>561</v>
          </cell>
          <cell r="BB804">
            <v>50</v>
          </cell>
          <cell r="BF804" t="str">
            <v>Ok</v>
          </cell>
        </row>
        <row r="805">
          <cell r="B805" t="str">
            <v>LOVEME SILVER</v>
          </cell>
          <cell r="R805">
            <v>4.25</v>
          </cell>
          <cell r="S805">
            <v>322.60000000000002</v>
          </cell>
          <cell r="T805">
            <v>13.2</v>
          </cell>
          <cell r="U805">
            <v>0</v>
          </cell>
          <cell r="BA805">
            <v>335.8</v>
          </cell>
          <cell r="BB805">
            <v>0</v>
          </cell>
          <cell r="BF805" t="str">
            <v>Ok</v>
          </cell>
        </row>
        <row r="806">
          <cell r="B806" t="str">
            <v>LOVEME STONE</v>
          </cell>
          <cell r="R806">
            <v>14.637499999999999</v>
          </cell>
          <cell r="S806">
            <v>461.2</v>
          </cell>
          <cell r="T806">
            <v>0</v>
          </cell>
          <cell r="U806">
            <v>0</v>
          </cell>
          <cell r="BA806">
            <v>461.2</v>
          </cell>
          <cell r="BB806">
            <v>0</v>
          </cell>
          <cell r="BF806" t="str">
            <v>Ok</v>
          </cell>
        </row>
        <row r="807">
          <cell r="B807" t="str">
            <v>LUCCA ASH</v>
          </cell>
          <cell r="R807">
            <v>40.975000000000001</v>
          </cell>
          <cell r="S807">
            <v>856.9</v>
          </cell>
          <cell r="T807">
            <v>71.2</v>
          </cell>
          <cell r="U807">
            <v>0</v>
          </cell>
          <cell r="BA807">
            <v>928.1</v>
          </cell>
          <cell r="BB807">
            <v>100</v>
          </cell>
          <cell r="BF807" t="str">
            <v>Ok</v>
          </cell>
        </row>
        <row r="808">
          <cell r="B808" t="str">
            <v>LUCCA GREY</v>
          </cell>
          <cell r="R808">
            <v>85.149999999999991</v>
          </cell>
          <cell r="S808">
            <v>708.9</v>
          </cell>
          <cell r="T808">
            <v>45.3</v>
          </cell>
          <cell r="U808">
            <v>0</v>
          </cell>
          <cell r="BA808">
            <v>754.19999999999993</v>
          </cell>
          <cell r="BB808">
            <v>0</v>
          </cell>
          <cell r="BF808" t="str">
            <v>Ok</v>
          </cell>
        </row>
        <row r="809">
          <cell r="B809" t="str">
            <v>LUCCA LATTE</v>
          </cell>
          <cell r="R809">
            <v>62.45</v>
          </cell>
          <cell r="S809">
            <v>1018</v>
          </cell>
          <cell r="T809">
            <v>18.600000000000001</v>
          </cell>
          <cell r="U809">
            <v>49.3</v>
          </cell>
          <cell r="BA809">
            <v>1085.8999999999999</v>
          </cell>
          <cell r="BB809">
            <v>150</v>
          </cell>
          <cell r="BF809" t="str">
            <v>Ok</v>
          </cell>
        </row>
        <row r="810">
          <cell r="B810" t="str">
            <v>LUCCA MUSTARD</v>
          </cell>
          <cell r="R810">
            <v>2.5</v>
          </cell>
          <cell r="S810">
            <v>676.2</v>
          </cell>
          <cell r="T810">
            <v>5.7</v>
          </cell>
          <cell r="U810">
            <v>0</v>
          </cell>
          <cell r="BA810">
            <v>681.90000000000009</v>
          </cell>
          <cell r="BB810">
            <v>0</v>
          </cell>
          <cell r="BF810" t="str">
            <v>Ok</v>
          </cell>
        </row>
        <row r="811">
          <cell r="B811" t="str">
            <v>LUCCA SAND</v>
          </cell>
          <cell r="R811">
            <v>180.04999999999998</v>
          </cell>
          <cell r="S811">
            <v>948.9</v>
          </cell>
          <cell r="T811">
            <v>54.2</v>
          </cell>
          <cell r="U811">
            <v>0</v>
          </cell>
          <cell r="BA811">
            <v>1003.1</v>
          </cell>
          <cell r="BB811">
            <v>300</v>
          </cell>
          <cell r="BF811" t="str">
            <v>Ok</v>
          </cell>
        </row>
        <row r="812">
          <cell r="B812" t="str">
            <v>LULA ECRU</v>
          </cell>
          <cell r="R812">
            <v>8.4499999999999993</v>
          </cell>
          <cell r="S812">
            <v>74.8</v>
          </cell>
          <cell r="T812">
            <v>24.25</v>
          </cell>
          <cell r="U812">
            <v>0</v>
          </cell>
          <cell r="BA812">
            <v>99.05</v>
          </cell>
          <cell r="BB812">
            <v>0</v>
          </cell>
          <cell r="BF812" t="str">
            <v>Ok</v>
          </cell>
        </row>
        <row r="813">
          <cell r="B813" t="str">
            <v>LULA IVORY</v>
          </cell>
          <cell r="R813">
            <v>0</v>
          </cell>
          <cell r="S813">
            <v>183.3</v>
          </cell>
          <cell r="T813">
            <v>27.1</v>
          </cell>
          <cell r="U813">
            <v>0</v>
          </cell>
          <cell r="BA813">
            <v>210.4</v>
          </cell>
          <cell r="BB813">
            <v>0</v>
          </cell>
          <cell r="BF813" t="str">
            <v>Ok</v>
          </cell>
        </row>
        <row r="814">
          <cell r="B814" t="str">
            <v>LULLABY BARK</v>
          </cell>
          <cell r="R814">
            <v>75.375</v>
          </cell>
          <cell r="S814">
            <v>628</v>
          </cell>
          <cell r="T814">
            <v>42</v>
          </cell>
          <cell r="U814">
            <v>0</v>
          </cell>
          <cell r="BA814">
            <v>670</v>
          </cell>
          <cell r="BB814">
            <v>700</v>
          </cell>
          <cell r="BF814" t="str">
            <v>Resurtir</v>
          </cell>
        </row>
        <row r="815">
          <cell r="B815" t="str">
            <v>LULLABY BLACK</v>
          </cell>
          <cell r="R815">
            <v>14</v>
          </cell>
          <cell r="S815">
            <v>443</v>
          </cell>
          <cell r="T815">
            <v>50.44</v>
          </cell>
          <cell r="U815">
            <v>0</v>
          </cell>
          <cell r="BA815">
            <v>493.44</v>
          </cell>
          <cell r="BB815">
            <v>0</v>
          </cell>
          <cell r="BF815" t="str">
            <v>Ok</v>
          </cell>
        </row>
        <row r="816">
          <cell r="B816" t="str">
            <v>LULLABY CREAM</v>
          </cell>
          <cell r="R816">
            <v>33.275000000000006</v>
          </cell>
          <cell r="S816">
            <v>367.8</v>
          </cell>
          <cell r="T816">
            <v>19.2</v>
          </cell>
          <cell r="U816">
            <v>0</v>
          </cell>
          <cell r="BA816">
            <v>387</v>
          </cell>
          <cell r="BB816">
            <v>0</v>
          </cell>
          <cell r="BF816" t="str">
            <v>Ok</v>
          </cell>
        </row>
        <row r="817">
          <cell r="B817" t="str">
            <v>LULLABY FOSSIL</v>
          </cell>
          <cell r="R817">
            <v>76.424999999999997</v>
          </cell>
          <cell r="S817">
            <v>0</v>
          </cell>
          <cell r="T817">
            <v>7</v>
          </cell>
          <cell r="U817">
            <v>0</v>
          </cell>
          <cell r="BA817">
            <v>576</v>
          </cell>
          <cell r="BB817">
            <v>105</v>
          </cell>
          <cell r="BF817" t="str">
            <v>Ok</v>
          </cell>
        </row>
        <row r="818">
          <cell r="B818" t="str">
            <v>LULLABY IVORY</v>
          </cell>
          <cell r="R818">
            <v>77.650000000000006</v>
          </cell>
          <cell r="S818">
            <v>396.1</v>
          </cell>
          <cell r="T818">
            <v>27</v>
          </cell>
          <cell r="U818">
            <v>0</v>
          </cell>
          <cell r="BA818">
            <v>423.1</v>
          </cell>
          <cell r="BB818">
            <v>0</v>
          </cell>
          <cell r="BF818" t="str">
            <v>Ok</v>
          </cell>
        </row>
        <row r="819">
          <cell r="B819" t="str">
            <v>LULLABY MUSTARD</v>
          </cell>
          <cell r="R819">
            <v>25.65</v>
          </cell>
          <cell r="S819">
            <v>32.700000000000003</v>
          </cell>
          <cell r="T819">
            <v>0</v>
          </cell>
          <cell r="U819">
            <v>0</v>
          </cell>
          <cell r="BA819">
            <v>614.70000000000005</v>
          </cell>
          <cell r="BB819">
            <v>0</v>
          </cell>
          <cell r="BF819" t="str">
            <v>Ok</v>
          </cell>
        </row>
        <row r="820">
          <cell r="B820" t="str">
            <v>LULLABY OLIVE</v>
          </cell>
          <cell r="R820">
            <v>296.63500000000005</v>
          </cell>
          <cell r="S820">
            <v>488.8</v>
          </cell>
          <cell r="T820">
            <v>54.6</v>
          </cell>
          <cell r="U820">
            <v>0</v>
          </cell>
          <cell r="BA820">
            <v>1100.4000000000001</v>
          </cell>
          <cell r="BB820">
            <v>605</v>
          </cell>
          <cell r="BF820" t="str">
            <v>Resurtir</v>
          </cell>
        </row>
        <row r="821">
          <cell r="B821" t="str">
            <v>LULLABY OYSTER</v>
          </cell>
          <cell r="R821">
            <v>113.91249999999999</v>
          </cell>
          <cell r="S821">
            <v>417.5</v>
          </cell>
          <cell r="T821">
            <v>41.65</v>
          </cell>
          <cell r="U821">
            <v>0</v>
          </cell>
          <cell r="BA821">
            <v>459.15</v>
          </cell>
          <cell r="BB821">
            <v>0</v>
          </cell>
          <cell r="BF821" t="str">
            <v>Resurtir</v>
          </cell>
        </row>
        <row r="822">
          <cell r="B822" t="str">
            <v>LULLABY SILVER</v>
          </cell>
          <cell r="R822">
            <v>14.625</v>
          </cell>
          <cell r="S822">
            <v>319.10000000000002</v>
          </cell>
          <cell r="T822">
            <v>21.6</v>
          </cell>
          <cell r="U822">
            <v>0</v>
          </cell>
          <cell r="BA822">
            <v>340.70000000000005</v>
          </cell>
          <cell r="BB822">
            <v>0</v>
          </cell>
          <cell r="BF822" t="str">
            <v>Ok</v>
          </cell>
        </row>
        <row r="823">
          <cell r="B823" t="str">
            <v>MAGESTIC GRANITE</v>
          </cell>
          <cell r="R823">
            <v>252.3</v>
          </cell>
          <cell r="S823">
            <v>1237.5</v>
          </cell>
          <cell r="T823">
            <v>26.9</v>
          </cell>
          <cell r="U823">
            <v>0</v>
          </cell>
          <cell r="BA823">
            <v>1264.4000000000001</v>
          </cell>
          <cell r="BB823">
            <v>850</v>
          </cell>
          <cell r="BF823" t="str">
            <v>Ok</v>
          </cell>
        </row>
        <row r="824">
          <cell r="B824" t="str">
            <v>MAKAR AQUA</v>
          </cell>
          <cell r="R824">
            <v>0</v>
          </cell>
          <cell r="S824">
            <v>98.3</v>
          </cell>
          <cell r="T824">
            <v>12.2</v>
          </cell>
          <cell r="U824">
            <v>0</v>
          </cell>
          <cell r="BA824">
            <v>110.5</v>
          </cell>
          <cell r="BB824">
            <v>0</v>
          </cell>
          <cell r="BF824" t="str">
            <v>Ok</v>
          </cell>
        </row>
        <row r="825">
          <cell r="B825" t="str">
            <v>MAKAR BLUEBERRY</v>
          </cell>
          <cell r="R825">
            <v>1.2</v>
          </cell>
          <cell r="S825">
            <v>150.80000000000001</v>
          </cell>
          <cell r="T825">
            <v>31.5</v>
          </cell>
          <cell r="U825">
            <v>0</v>
          </cell>
          <cell r="BA825">
            <v>182.3</v>
          </cell>
          <cell r="BB825">
            <v>0</v>
          </cell>
          <cell r="BF825" t="str">
            <v>Ok</v>
          </cell>
        </row>
        <row r="826">
          <cell r="B826" t="str">
            <v>MAKAR CANVAS</v>
          </cell>
          <cell r="R826">
            <v>1.925</v>
          </cell>
          <cell r="S826">
            <v>57.5</v>
          </cell>
          <cell r="T826">
            <v>0</v>
          </cell>
          <cell r="U826">
            <v>96</v>
          </cell>
          <cell r="BA826">
            <v>153.5</v>
          </cell>
          <cell r="BB826">
            <v>0</v>
          </cell>
          <cell r="BF826" t="str">
            <v>Ok</v>
          </cell>
        </row>
        <row r="827">
          <cell r="B827" t="str">
            <v>MAKAR GALAXY</v>
          </cell>
          <cell r="R827">
            <v>0</v>
          </cell>
          <cell r="S827">
            <v>89.6</v>
          </cell>
          <cell r="T827">
            <v>17.899999999999999</v>
          </cell>
          <cell r="U827">
            <v>0</v>
          </cell>
          <cell r="BA827">
            <v>107.5</v>
          </cell>
          <cell r="BB827">
            <v>0</v>
          </cell>
          <cell r="BF827" t="str">
            <v>Ok</v>
          </cell>
        </row>
        <row r="828">
          <cell r="B828" t="str">
            <v>MAKAR LINEN</v>
          </cell>
          <cell r="R828">
            <v>12.25</v>
          </cell>
          <cell r="S828">
            <v>23</v>
          </cell>
          <cell r="T828">
            <v>33.04</v>
          </cell>
          <cell r="U828">
            <v>0</v>
          </cell>
          <cell r="BA828">
            <v>56.04</v>
          </cell>
          <cell r="BB828">
            <v>0</v>
          </cell>
          <cell r="BF828" t="str">
            <v>Ok</v>
          </cell>
        </row>
        <row r="829">
          <cell r="B829" t="str">
            <v>MAKAR RAIN</v>
          </cell>
          <cell r="R829">
            <v>1.55</v>
          </cell>
          <cell r="S829">
            <v>112.05</v>
          </cell>
          <cell r="T829">
            <v>0</v>
          </cell>
          <cell r="U829">
            <v>0</v>
          </cell>
          <cell r="BA829">
            <v>112.05</v>
          </cell>
          <cell r="BB829">
            <v>0</v>
          </cell>
          <cell r="BF829" t="str">
            <v>Ok</v>
          </cell>
        </row>
        <row r="830">
          <cell r="B830" t="str">
            <v>MAKAR SILVER</v>
          </cell>
          <cell r="R830">
            <v>14.375</v>
          </cell>
          <cell r="S830">
            <v>207.7</v>
          </cell>
          <cell r="T830">
            <v>30</v>
          </cell>
          <cell r="U830">
            <v>99.9</v>
          </cell>
          <cell r="BA830">
            <v>337.6</v>
          </cell>
          <cell r="BB830">
            <v>0</v>
          </cell>
          <cell r="BF830" t="str">
            <v>Ok</v>
          </cell>
        </row>
        <row r="831">
          <cell r="B831" t="str">
            <v>MALIBU CANYON BONE</v>
          </cell>
          <cell r="R831">
            <v>12.375</v>
          </cell>
          <cell r="S831">
            <v>393.42</v>
          </cell>
          <cell r="T831">
            <v>7.38</v>
          </cell>
          <cell r="U831">
            <v>0</v>
          </cell>
          <cell r="BA831">
            <v>400.8</v>
          </cell>
          <cell r="BB831">
            <v>200</v>
          </cell>
          <cell r="BF831" t="str">
            <v>Ok</v>
          </cell>
        </row>
        <row r="832">
          <cell r="B832" t="str">
            <v>MALIBU CANYON CHAMPAGNE</v>
          </cell>
          <cell r="R832">
            <v>54.55</v>
          </cell>
          <cell r="S832">
            <v>80.53</v>
          </cell>
          <cell r="T832">
            <v>10.02</v>
          </cell>
          <cell r="U832">
            <v>201.99</v>
          </cell>
          <cell r="BA832">
            <v>292.54000000000002</v>
          </cell>
          <cell r="BB832">
            <v>200</v>
          </cell>
          <cell r="BF832" t="str">
            <v>Ok</v>
          </cell>
        </row>
        <row r="833">
          <cell r="B833" t="str">
            <v>MALIBU CANYON CHARCOAL</v>
          </cell>
          <cell r="R833">
            <v>64.099999999999994</v>
          </cell>
          <cell r="S833">
            <v>163.98</v>
          </cell>
          <cell r="T833">
            <v>15.02</v>
          </cell>
          <cell r="U833">
            <v>0</v>
          </cell>
          <cell r="BA833">
            <v>629</v>
          </cell>
          <cell r="BB833">
            <v>450</v>
          </cell>
          <cell r="BF833" t="str">
            <v>Ok</v>
          </cell>
        </row>
        <row r="834">
          <cell r="B834" t="str">
            <v>MALIBU CANYON CREAM</v>
          </cell>
          <cell r="R834">
            <v>20.625</v>
          </cell>
          <cell r="S834">
            <v>250.48</v>
          </cell>
          <cell r="T834">
            <v>5.0199999999999996</v>
          </cell>
          <cell r="U834">
            <v>102.04</v>
          </cell>
          <cell r="BA834">
            <v>357.54</v>
          </cell>
          <cell r="BB834">
            <v>200</v>
          </cell>
          <cell r="BF834" t="str">
            <v>Ok</v>
          </cell>
        </row>
        <row r="835">
          <cell r="B835" t="str">
            <v>MALIBU CANYON DARK GREY</v>
          </cell>
          <cell r="R835">
            <v>3.75</v>
          </cell>
          <cell r="S835">
            <v>203</v>
          </cell>
          <cell r="T835">
            <v>5.57</v>
          </cell>
          <cell r="U835">
            <v>0</v>
          </cell>
          <cell r="BA835">
            <v>258.57</v>
          </cell>
          <cell r="BB835">
            <v>150</v>
          </cell>
          <cell r="BF835" t="str">
            <v>Ok</v>
          </cell>
        </row>
        <row r="836">
          <cell r="B836" t="str">
            <v>MALIBU CANYON GREY</v>
          </cell>
          <cell r="R836">
            <v>19.057500000000001</v>
          </cell>
          <cell r="S836">
            <v>0</v>
          </cell>
          <cell r="T836">
            <v>23.89</v>
          </cell>
          <cell r="U836">
            <v>0</v>
          </cell>
          <cell r="BA836">
            <v>275.89</v>
          </cell>
          <cell r="BB836">
            <v>0</v>
          </cell>
          <cell r="BF836" t="str">
            <v>Ok</v>
          </cell>
        </row>
        <row r="837">
          <cell r="B837" t="str">
            <v>MALIBU CANYON IVORY</v>
          </cell>
          <cell r="R837">
            <v>65.47</v>
          </cell>
          <cell r="S837">
            <v>641.80999999999995</v>
          </cell>
          <cell r="T837">
            <v>7.85</v>
          </cell>
          <cell r="U837">
            <v>0</v>
          </cell>
          <cell r="BA837">
            <v>649.66</v>
          </cell>
          <cell r="BB837">
            <v>500</v>
          </cell>
          <cell r="BF837" t="str">
            <v>Ok</v>
          </cell>
        </row>
        <row r="838">
          <cell r="B838" t="str">
            <v>MALIBU CANYON SNOW</v>
          </cell>
          <cell r="R838">
            <v>169.4425</v>
          </cell>
          <cell r="S838">
            <v>304.86</v>
          </cell>
          <cell r="T838">
            <v>8.84</v>
          </cell>
          <cell r="U838">
            <v>0</v>
          </cell>
          <cell r="BA838">
            <v>818.7</v>
          </cell>
          <cell r="BB838">
            <v>350</v>
          </cell>
          <cell r="BF838" t="str">
            <v>Ok</v>
          </cell>
        </row>
        <row r="839">
          <cell r="B839" t="str">
            <v>MALTESE MARBLE</v>
          </cell>
          <cell r="R839">
            <v>5.2149999999999999</v>
          </cell>
          <cell r="S839">
            <v>173.4</v>
          </cell>
          <cell r="T839">
            <v>0</v>
          </cell>
          <cell r="U839">
            <v>34.299999999999997</v>
          </cell>
          <cell r="BA839">
            <v>207.7</v>
          </cell>
          <cell r="BB839">
            <v>60</v>
          </cell>
          <cell r="BF839" t="str">
            <v>Ok</v>
          </cell>
        </row>
        <row r="840">
          <cell r="B840" t="str">
            <v>MALTESE SAND</v>
          </cell>
          <cell r="R840">
            <v>7.5549999999999997</v>
          </cell>
          <cell r="S840">
            <v>205.9</v>
          </cell>
          <cell r="T840">
            <v>0</v>
          </cell>
          <cell r="U840">
            <v>0</v>
          </cell>
          <cell r="BA840">
            <v>205.9</v>
          </cell>
          <cell r="BB840">
            <v>65</v>
          </cell>
          <cell r="BF840" t="str">
            <v>Ok</v>
          </cell>
        </row>
        <row r="841">
          <cell r="B841" t="str">
            <v>MAMBA BLUE COTTON</v>
          </cell>
          <cell r="R841">
            <v>1.1499999999999999</v>
          </cell>
          <cell r="S841">
            <v>24.14</v>
          </cell>
          <cell r="T841">
            <v>15.9</v>
          </cell>
          <cell r="U841">
            <v>0</v>
          </cell>
          <cell r="BA841">
            <v>40.04</v>
          </cell>
          <cell r="BB841">
            <v>0</v>
          </cell>
          <cell r="BF841" t="str">
            <v>Ok</v>
          </cell>
        </row>
        <row r="842">
          <cell r="B842" t="str">
            <v>MANTEO ONYX</v>
          </cell>
          <cell r="R842">
            <v>10.8225</v>
          </cell>
          <cell r="S842">
            <v>196.87</v>
          </cell>
          <cell r="T842">
            <v>7.5</v>
          </cell>
          <cell r="U842">
            <v>0</v>
          </cell>
          <cell r="BA842">
            <v>253.37</v>
          </cell>
          <cell r="BB842">
            <v>250</v>
          </cell>
          <cell r="BF842" t="str">
            <v>Ok</v>
          </cell>
        </row>
        <row r="843">
          <cell r="B843" t="str">
            <v>MAX LINEN</v>
          </cell>
          <cell r="R843">
            <v>43.587499999999999</v>
          </cell>
          <cell r="S843">
            <v>230.8</v>
          </cell>
          <cell r="T843">
            <v>0</v>
          </cell>
          <cell r="U843">
            <v>149.13999999999999</v>
          </cell>
          <cell r="BA843">
            <v>379.94</v>
          </cell>
          <cell r="BB843">
            <v>0</v>
          </cell>
          <cell r="BF843" t="str">
            <v>Ok</v>
          </cell>
        </row>
        <row r="844">
          <cell r="B844" t="str">
            <v>MAYA CHAMPAGNE</v>
          </cell>
          <cell r="R844">
            <v>76.375</v>
          </cell>
          <cell r="S844">
            <v>0</v>
          </cell>
          <cell r="T844">
            <v>68.8</v>
          </cell>
          <cell r="U844">
            <v>0</v>
          </cell>
          <cell r="BA844">
            <v>575.79999999999995</v>
          </cell>
          <cell r="BB844">
            <v>0</v>
          </cell>
          <cell r="BF844" t="str">
            <v>Ok</v>
          </cell>
        </row>
        <row r="845">
          <cell r="B845" t="str">
            <v>MAYA WHITE</v>
          </cell>
          <cell r="R845">
            <v>12.324999999999999</v>
          </cell>
          <cell r="S845">
            <v>154.65</v>
          </cell>
          <cell r="T845">
            <v>6.4</v>
          </cell>
          <cell r="U845">
            <v>0</v>
          </cell>
          <cell r="BA845">
            <v>689.05</v>
          </cell>
          <cell r="BB845">
            <v>0</v>
          </cell>
          <cell r="BF845" t="str">
            <v>Ok</v>
          </cell>
        </row>
        <row r="846">
          <cell r="B846" t="str">
            <v>MEDICI BLUE</v>
          </cell>
          <cell r="R846">
            <v>0.9</v>
          </cell>
          <cell r="S846">
            <v>152.6</v>
          </cell>
          <cell r="T846">
            <v>13.72</v>
          </cell>
          <cell r="U846">
            <v>0</v>
          </cell>
          <cell r="BA846">
            <v>166.32</v>
          </cell>
          <cell r="BB846">
            <v>0</v>
          </cell>
          <cell r="BF846" t="str">
            <v>Ok</v>
          </cell>
        </row>
        <row r="847">
          <cell r="B847" t="str">
            <v>MELODY DOUBLE DRIFTWOOD</v>
          </cell>
          <cell r="R847">
            <v>66.825000000000003</v>
          </cell>
          <cell r="S847">
            <v>352.8</v>
          </cell>
          <cell r="T847">
            <v>51</v>
          </cell>
          <cell r="U847">
            <v>0</v>
          </cell>
          <cell r="BA847">
            <v>403.8</v>
          </cell>
          <cell r="BB847">
            <v>50</v>
          </cell>
          <cell r="BF847" t="str">
            <v>Ok</v>
          </cell>
        </row>
        <row r="848">
          <cell r="B848" t="str">
            <v>MELODY DOUBLE FLAX</v>
          </cell>
          <cell r="R848">
            <v>38.625</v>
          </cell>
          <cell r="S848">
            <v>151</v>
          </cell>
          <cell r="T848">
            <v>29.6</v>
          </cell>
          <cell r="U848">
            <v>954</v>
          </cell>
          <cell r="BA848">
            <v>1134.5999999999999</v>
          </cell>
          <cell r="BB848">
            <v>50</v>
          </cell>
          <cell r="BF848" t="str">
            <v>Ok</v>
          </cell>
        </row>
        <row r="849">
          <cell r="B849" t="str">
            <v>MELODY DOUBLE SILVER</v>
          </cell>
          <cell r="R849">
            <v>16.625</v>
          </cell>
          <cell r="S849">
            <v>98.8</v>
          </cell>
          <cell r="T849">
            <v>34.700000000000003</v>
          </cell>
          <cell r="U849">
            <v>370</v>
          </cell>
          <cell r="BA849">
            <v>503.5</v>
          </cell>
          <cell r="BB849">
            <v>0</v>
          </cell>
          <cell r="BF849" t="str">
            <v>Ok</v>
          </cell>
        </row>
        <row r="850">
          <cell r="B850" t="str">
            <v>MELODY DOUBLE TAUPE</v>
          </cell>
          <cell r="R850">
            <v>11.5</v>
          </cell>
          <cell r="S850">
            <v>483.5</v>
          </cell>
          <cell r="T850">
            <v>35</v>
          </cell>
          <cell r="U850">
            <v>0</v>
          </cell>
          <cell r="BA850">
            <v>518.5</v>
          </cell>
          <cell r="BB850">
            <v>0</v>
          </cell>
          <cell r="BF850" t="str">
            <v>Ok</v>
          </cell>
        </row>
        <row r="851">
          <cell r="B851" t="str">
            <v>MELODY DRIFTWOOD</v>
          </cell>
          <cell r="R851">
            <v>0</v>
          </cell>
          <cell r="S851">
            <v>0</v>
          </cell>
          <cell r="T851">
            <v>8.8000000000000007</v>
          </cell>
          <cell r="U851">
            <v>0</v>
          </cell>
          <cell r="BA851">
            <v>8.8000000000000007</v>
          </cell>
          <cell r="BB851">
            <v>50</v>
          </cell>
          <cell r="BF851" t="str">
            <v>Resurtir</v>
          </cell>
        </row>
        <row r="852">
          <cell r="B852" t="str">
            <v>MELODY FLAX</v>
          </cell>
          <cell r="R852">
            <v>2</v>
          </cell>
          <cell r="S852">
            <v>69.3</v>
          </cell>
          <cell r="T852">
            <v>54.38</v>
          </cell>
          <cell r="U852">
            <v>0</v>
          </cell>
          <cell r="BA852">
            <v>123.68</v>
          </cell>
          <cell r="BB852">
            <v>0</v>
          </cell>
          <cell r="BF852" t="str">
            <v>Ok</v>
          </cell>
        </row>
        <row r="853">
          <cell r="B853" t="str">
            <v>MELODY SILVER</v>
          </cell>
          <cell r="R853">
            <v>50.75</v>
          </cell>
          <cell r="S853">
            <v>569.20000000000005</v>
          </cell>
          <cell r="T853">
            <v>33</v>
          </cell>
          <cell r="U853">
            <v>0</v>
          </cell>
          <cell r="BA853">
            <v>602.20000000000005</v>
          </cell>
          <cell r="BB853">
            <v>200</v>
          </cell>
          <cell r="BF853" t="str">
            <v>Ok</v>
          </cell>
        </row>
        <row r="854">
          <cell r="B854" t="str">
            <v>MELODY TAUPE</v>
          </cell>
          <cell r="R854">
            <v>0</v>
          </cell>
          <cell r="S854">
            <v>161.5</v>
          </cell>
          <cell r="T854">
            <v>13.2</v>
          </cell>
          <cell r="U854">
            <v>0</v>
          </cell>
          <cell r="BA854">
            <v>174.7</v>
          </cell>
          <cell r="BB854">
            <v>0</v>
          </cell>
          <cell r="BF854" t="str">
            <v>Ok</v>
          </cell>
        </row>
        <row r="855">
          <cell r="B855" t="str">
            <v>MERINO BONE ZF</v>
          </cell>
          <cell r="R855">
            <v>4.8</v>
          </cell>
          <cell r="S855">
            <v>166.7</v>
          </cell>
          <cell r="T855">
            <v>0</v>
          </cell>
          <cell r="U855">
            <v>0</v>
          </cell>
          <cell r="BA855">
            <v>166.7</v>
          </cell>
          <cell r="BB855">
            <v>0</v>
          </cell>
          <cell r="BF855" t="str">
            <v>Ok</v>
          </cell>
        </row>
        <row r="856">
          <cell r="B856" t="str">
            <v>MERINO CHARCOAL ZF</v>
          </cell>
          <cell r="R856">
            <v>7</v>
          </cell>
          <cell r="S856">
            <v>106.1</v>
          </cell>
          <cell r="T856">
            <v>5.0999999999999996</v>
          </cell>
          <cell r="U856">
            <v>0</v>
          </cell>
          <cell r="BA856">
            <v>111.19999999999999</v>
          </cell>
          <cell r="BB856">
            <v>0</v>
          </cell>
          <cell r="BF856" t="str">
            <v>Ok</v>
          </cell>
        </row>
        <row r="857">
          <cell r="B857" t="str">
            <v>MERINO COCONUT ZF</v>
          </cell>
          <cell r="R857">
            <v>5.2249999999999996</v>
          </cell>
          <cell r="S857">
            <v>168.7</v>
          </cell>
          <cell r="T857">
            <v>0</v>
          </cell>
          <cell r="U857">
            <v>0</v>
          </cell>
          <cell r="BA857">
            <v>168.7</v>
          </cell>
          <cell r="BB857">
            <v>30</v>
          </cell>
          <cell r="BF857" t="str">
            <v>Ok</v>
          </cell>
        </row>
        <row r="858">
          <cell r="B858" t="str">
            <v>MERINO COTTON ZF</v>
          </cell>
          <cell r="R858">
            <v>26.25</v>
          </cell>
          <cell r="S858">
            <v>120.4</v>
          </cell>
          <cell r="T858">
            <v>23.8</v>
          </cell>
          <cell r="U858">
            <v>0</v>
          </cell>
          <cell r="BA858">
            <v>455.20000000000005</v>
          </cell>
          <cell r="BB858">
            <v>100</v>
          </cell>
          <cell r="BF858" t="str">
            <v>Ok</v>
          </cell>
        </row>
        <row r="859">
          <cell r="B859" t="str">
            <v>MERINO DESERT ZF</v>
          </cell>
          <cell r="R859">
            <v>6.7</v>
          </cell>
          <cell r="S859">
            <v>294.2</v>
          </cell>
          <cell r="T859">
            <v>6.7</v>
          </cell>
          <cell r="U859">
            <v>0</v>
          </cell>
          <cell r="BA859">
            <v>300.89999999999998</v>
          </cell>
          <cell r="BB859">
            <v>0</v>
          </cell>
          <cell r="BF859" t="str">
            <v>Ok</v>
          </cell>
        </row>
        <row r="860">
          <cell r="B860" t="str">
            <v>MERINO NICKEL</v>
          </cell>
          <cell r="R860">
            <v>16.75</v>
          </cell>
          <cell r="S860">
            <v>125.5</v>
          </cell>
          <cell r="T860">
            <v>7.7</v>
          </cell>
          <cell r="U860">
            <v>0</v>
          </cell>
          <cell r="BA860">
            <v>133.19999999999999</v>
          </cell>
          <cell r="BB860">
            <v>0</v>
          </cell>
          <cell r="BF860" t="str">
            <v>Ok</v>
          </cell>
        </row>
        <row r="861">
          <cell r="B861" t="str">
            <v>MERINO NICKEL C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BA861">
            <v>0</v>
          </cell>
          <cell r="BB861">
            <v>0</v>
          </cell>
          <cell r="BF861" t="str">
            <v>Resurtir</v>
          </cell>
        </row>
        <row r="862">
          <cell r="B862" t="str">
            <v>MERINO NICKEL ZF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BA862">
            <v>0</v>
          </cell>
          <cell r="BB862">
            <v>0</v>
          </cell>
          <cell r="BF862" t="str">
            <v>Resurtir</v>
          </cell>
        </row>
        <row r="863">
          <cell r="B863" t="str">
            <v>MERINO SAND</v>
          </cell>
          <cell r="R863">
            <v>9.5</v>
          </cell>
          <cell r="S863">
            <v>101.4</v>
          </cell>
          <cell r="T863">
            <v>25.3</v>
          </cell>
          <cell r="U863">
            <v>0</v>
          </cell>
          <cell r="BA863">
            <v>126.7</v>
          </cell>
          <cell r="BB863">
            <v>0</v>
          </cell>
          <cell r="BF863" t="str">
            <v>Ok</v>
          </cell>
        </row>
        <row r="864">
          <cell r="B864" t="str">
            <v>MERINO SAND ZF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BA864">
            <v>0</v>
          </cell>
          <cell r="BB864">
            <v>0</v>
          </cell>
          <cell r="BF864" t="str">
            <v>Resurtir</v>
          </cell>
        </row>
        <row r="865">
          <cell r="B865" t="str">
            <v>METROPOLITAN CAMEL</v>
          </cell>
          <cell r="R865">
            <v>0.27500000000000002</v>
          </cell>
          <cell r="S865">
            <v>131.25</v>
          </cell>
          <cell r="T865">
            <v>17.600000000000001</v>
          </cell>
          <cell r="U865">
            <v>0</v>
          </cell>
          <cell r="BA865">
            <v>148.85</v>
          </cell>
          <cell r="BB865">
            <v>0</v>
          </cell>
          <cell r="BF865" t="str">
            <v>Ok</v>
          </cell>
        </row>
        <row r="866">
          <cell r="B866" t="str">
            <v>MIRAGE BLIZZARD</v>
          </cell>
          <cell r="R866">
            <v>117.325</v>
          </cell>
          <cell r="S866">
            <v>464.7</v>
          </cell>
          <cell r="T866">
            <v>11</v>
          </cell>
          <cell r="U866">
            <v>0</v>
          </cell>
          <cell r="BA866">
            <v>962.7</v>
          </cell>
          <cell r="BB866">
            <v>500</v>
          </cell>
          <cell r="BF866" t="str">
            <v>Ok</v>
          </cell>
        </row>
        <row r="867">
          <cell r="B867" t="str">
            <v>MIRAGE DUSK</v>
          </cell>
          <cell r="R867">
            <v>23.450000000000003</v>
          </cell>
          <cell r="S867">
            <v>76.400000000000006</v>
          </cell>
          <cell r="T867">
            <v>26.6</v>
          </cell>
          <cell r="U867">
            <v>0</v>
          </cell>
          <cell r="BA867">
            <v>633</v>
          </cell>
          <cell r="BB867">
            <v>0</v>
          </cell>
          <cell r="BF867" t="str">
            <v>Ok</v>
          </cell>
        </row>
        <row r="868">
          <cell r="B868" t="str">
            <v>MISHA NATURAL</v>
          </cell>
          <cell r="R868">
            <v>14.212499999999999</v>
          </cell>
          <cell r="S868">
            <v>122.25</v>
          </cell>
          <cell r="T868">
            <v>0</v>
          </cell>
          <cell r="U868">
            <v>0</v>
          </cell>
          <cell r="BA868">
            <v>122.25</v>
          </cell>
          <cell r="BB868">
            <v>0</v>
          </cell>
          <cell r="BF868" t="str">
            <v>Ok</v>
          </cell>
        </row>
        <row r="869">
          <cell r="B869" t="str">
            <v>MISHA STERLING</v>
          </cell>
          <cell r="R869">
            <v>6.0374999999999996</v>
          </cell>
          <cell r="S869">
            <v>212.15</v>
          </cell>
          <cell r="T869">
            <v>0</v>
          </cell>
          <cell r="U869">
            <v>0</v>
          </cell>
          <cell r="BA869">
            <v>212.15</v>
          </cell>
          <cell r="BB869">
            <v>0</v>
          </cell>
          <cell r="BF869" t="str">
            <v>Ok</v>
          </cell>
        </row>
        <row r="870">
          <cell r="B870" t="str">
            <v>MOANA DOMINO</v>
          </cell>
          <cell r="R870">
            <v>40.287500000000001</v>
          </cell>
          <cell r="S870">
            <v>470.6</v>
          </cell>
          <cell r="T870">
            <v>0</v>
          </cell>
          <cell r="U870">
            <v>0</v>
          </cell>
          <cell r="BA870">
            <v>470.6</v>
          </cell>
          <cell r="BB870">
            <v>0</v>
          </cell>
          <cell r="BF870" t="str">
            <v>Ok</v>
          </cell>
        </row>
        <row r="871">
          <cell r="B871" t="str">
            <v>MOANA GINGER</v>
          </cell>
          <cell r="R871">
            <v>77.775000000000006</v>
          </cell>
          <cell r="S871">
            <v>103.6</v>
          </cell>
          <cell r="T871">
            <v>14.1</v>
          </cell>
          <cell r="U871">
            <v>0</v>
          </cell>
          <cell r="BA871">
            <v>417.7</v>
          </cell>
          <cell r="BB871">
            <v>80</v>
          </cell>
          <cell r="BF871" t="str">
            <v>Ok</v>
          </cell>
        </row>
        <row r="872">
          <cell r="B872" t="str">
            <v>MOANA NATURAL</v>
          </cell>
          <cell r="R872">
            <v>13.415000000000001</v>
          </cell>
          <cell r="S872">
            <v>95.2</v>
          </cell>
          <cell r="T872">
            <v>17.739999999999998</v>
          </cell>
          <cell r="U872">
            <v>618.5</v>
          </cell>
          <cell r="BA872">
            <v>731.44</v>
          </cell>
          <cell r="BB872">
            <v>0</v>
          </cell>
          <cell r="BF872" t="str">
            <v>Ok</v>
          </cell>
        </row>
        <row r="873">
          <cell r="B873" t="str">
            <v>MOCCASIN IVORY</v>
          </cell>
          <cell r="R873">
            <v>24.2</v>
          </cell>
          <cell r="S873">
            <v>64.400000000000006</v>
          </cell>
          <cell r="T873">
            <v>29.5</v>
          </cell>
          <cell r="U873">
            <v>202.6</v>
          </cell>
          <cell r="BA873">
            <v>296.5</v>
          </cell>
          <cell r="BB873">
            <v>780</v>
          </cell>
          <cell r="BF873" t="str">
            <v>Resurtir</v>
          </cell>
        </row>
        <row r="874">
          <cell r="B874" t="str">
            <v>MOCCASIN SHADOW</v>
          </cell>
          <cell r="R874">
            <v>2.415</v>
          </cell>
          <cell r="S874">
            <v>228.3</v>
          </cell>
          <cell r="T874">
            <v>13.54</v>
          </cell>
          <cell r="U874">
            <v>0</v>
          </cell>
          <cell r="BA874">
            <v>241.84</v>
          </cell>
          <cell r="BB874">
            <v>0</v>
          </cell>
          <cell r="BF874" t="str">
            <v>Ok</v>
          </cell>
        </row>
        <row r="875">
          <cell r="B875" t="str">
            <v>MOHAIR ARMY GREEN</v>
          </cell>
          <cell r="R875">
            <v>200.99</v>
          </cell>
          <cell r="S875">
            <v>692.3</v>
          </cell>
          <cell r="T875">
            <v>39.5</v>
          </cell>
          <cell r="U875">
            <v>934.8</v>
          </cell>
          <cell r="BA875">
            <v>2866.6</v>
          </cell>
          <cell r="BB875">
            <v>300</v>
          </cell>
          <cell r="BF875" t="str">
            <v>Ok</v>
          </cell>
        </row>
        <row r="876">
          <cell r="B876" t="str">
            <v>MOHAIR CHARCOAL</v>
          </cell>
          <cell r="R876">
            <v>93.6</v>
          </cell>
          <cell r="S876">
            <v>107.4</v>
          </cell>
          <cell r="T876">
            <v>0</v>
          </cell>
          <cell r="U876">
            <v>0</v>
          </cell>
          <cell r="BA876">
            <v>709.4</v>
          </cell>
          <cell r="BB876">
            <v>250</v>
          </cell>
          <cell r="BF876" t="str">
            <v>Ok</v>
          </cell>
        </row>
        <row r="877">
          <cell r="B877" t="str">
            <v>MOHAIR COFFEE</v>
          </cell>
          <cell r="R877">
            <v>72.875</v>
          </cell>
          <cell r="S877">
            <v>301.5</v>
          </cell>
          <cell r="T877">
            <v>18.7</v>
          </cell>
          <cell r="U877">
            <v>0</v>
          </cell>
          <cell r="BA877">
            <v>954.2</v>
          </cell>
          <cell r="BB877">
            <v>0</v>
          </cell>
          <cell r="BF877" t="str">
            <v>Ok</v>
          </cell>
        </row>
        <row r="878">
          <cell r="B878" t="str">
            <v>MOHAIR CREAM</v>
          </cell>
          <cell r="R878">
            <v>239.815</v>
          </cell>
          <cell r="S878">
            <v>0</v>
          </cell>
          <cell r="T878">
            <v>31.74</v>
          </cell>
          <cell r="U878">
            <v>1142.9000000000001</v>
          </cell>
          <cell r="BA878">
            <v>2903.6400000000003</v>
          </cell>
          <cell r="BB878">
            <v>200</v>
          </cell>
          <cell r="BF878" t="str">
            <v>Ok</v>
          </cell>
        </row>
        <row r="879">
          <cell r="B879" t="str">
            <v>MOHAIR CURRY</v>
          </cell>
          <cell r="R879">
            <v>92.4</v>
          </cell>
          <cell r="S879">
            <v>632.6</v>
          </cell>
          <cell r="T879">
            <v>14.7</v>
          </cell>
          <cell r="U879">
            <v>0</v>
          </cell>
          <cell r="BA879">
            <v>1247.3000000000002</v>
          </cell>
          <cell r="BB879">
            <v>100</v>
          </cell>
          <cell r="BF879" t="str">
            <v>Ok</v>
          </cell>
        </row>
        <row r="880">
          <cell r="B880" t="str">
            <v>MOHAIR MUSTARD</v>
          </cell>
          <cell r="R880">
            <v>60</v>
          </cell>
          <cell r="S880">
            <v>158</v>
          </cell>
          <cell r="T880">
            <v>17.8</v>
          </cell>
          <cell r="U880">
            <v>0</v>
          </cell>
          <cell r="BA880">
            <v>771.8</v>
          </cell>
          <cell r="BB880">
            <v>180</v>
          </cell>
          <cell r="BF880" t="str">
            <v>Ok</v>
          </cell>
        </row>
        <row r="881">
          <cell r="B881" t="str">
            <v>MOHAIR TAUPE</v>
          </cell>
          <cell r="R881">
            <v>262.27999999999997</v>
          </cell>
          <cell r="S881">
            <v>48.5</v>
          </cell>
          <cell r="T881">
            <v>6.7</v>
          </cell>
          <cell r="U881">
            <v>0</v>
          </cell>
          <cell r="BA881">
            <v>2450.1999999999998</v>
          </cell>
          <cell r="BB881">
            <v>290</v>
          </cell>
          <cell r="BF881" t="str">
            <v>Ok</v>
          </cell>
        </row>
        <row r="882">
          <cell r="B882" t="str">
            <v>MONCHINO CHESTNUT</v>
          </cell>
          <cell r="R882">
            <v>0.64</v>
          </cell>
          <cell r="S882">
            <v>0</v>
          </cell>
          <cell r="T882">
            <v>18.440000000000001</v>
          </cell>
          <cell r="U882">
            <v>203.6</v>
          </cell>
          <cell r="BA882">
            <v>222.04</v>
          </cell>
          <cell r="BB882">
            <v>0</v>
          </cell>
          <cell r="BF882" t="str">
            <v>Ok</v>
          </cell>
        </row>
        <row r="883">
          <cell r="B883" t="str">
            <v>MONCHINO GRANITE</v>
          </cell>
          <cell r="R883">
            <v>9.3150000000000013</v>
          </cell>
          <cell r="S883">
            <v>34.979999999999997</v>
          </cell>
          <cell r="T883">
            <v>10.9</v>
          </cell>
          <cell r="U883">
            <v>232.3</v>
          </cell>
          <cell r="BA883">
            <v>278.18</v>
          </cell>
          <cell r="BB883">
            <v>0</v>
          </cell>
          <cell r="BF883" t="str">
            <v>Ok</v>
          </cell>
        </row>
        <row r="884">
          <cell r="B884" t="str">
            <v>MONELLO DOMINO</v>
          </cell>
          <cell r="R884">
            <v>1.625</v>
          </cell>
          <cell r="S884">
            <v>71.900000000000006</v>
          </cell>
          <cell r="T884">
            <v>0</v>
          </cell>
          <cell r="U884">
            <v>0</v>
          </cell>
          <cell r="BA884">
            <v>71.900000000000006</v>
          </cell>
          <cell r="BB884">
            <v>0</v>
          </cell>
          <cell r="BF884" t="str">
            <v>Ok</v>
          </cell>
        </row>
        <row r="885">
          <cell r="B885" t="str">
            <v>MONET DOVE</v>
          </cell>
          <cell r="R885">
            <v>37.549999999999997</v>
          </cell>
          <cell r="S885">
            <v>311.89999999999998</v>
          </cell>
          <cell r="T885">
            <v>29.1</v>
          </cell>
          <cell r="U885">
            <v>0</v>
          </cell>
          <cell r="BA885">
            <v>341</v>
          </cell>
          <cell r="BB885">
            <v>0</v>
          </cell>
          <cell r="BF885" t="str">
            <v>Ok</v>
          </cell>
        </row>
        <row r="886">
          <cell r="B886" t="str">
            <v>MONET EBONY</v>
          </cell>
          <cell r="R886">
            <v>18.5</v>
          </cell>
          <cell r="S886">
            <v>677.6</v>
          </cell>
          <cell r="T886">
            <v>36.9</v>
          </cell>
          <cell r="U886">
            <v>0</v>
          </cell>
          <cell r="BA886">
            <v>714.5</v>
          </cell>
          <cell r="BB886">
            <v>0</v>
          </cell>
          <cell r="BF886" t="str">
            <v>Ok</v>
          </cell>
        </row>
        <row r="887">
          <cell r="B887" t="str">
            <v>MONET NAVY</v>
          </cell>
          <cell r="R887">
            <v>23.25</v>
          </cell>
          <cell r="S887">
            <v>788.9</v>
          </cell>
          <cell r="T887">
            <v>5.0999999999999996</v>
          </cell>
          <cell r="U887">
            <v>0</v>
          </cell>
          <cell r="BA887">
            <v>794</v>
          </cell>
          <cell r="BB887">
            <v>0</v>
          </cell>
          <cell r="BF887" t="str">
            <v>Ok</v>
          </cell>
        </row>
        <row r="888">
          <cell r="B888" t="str">
            <v>MONET PORCELAIN</v>
          </cell>
          <cell r="R888">
            <v>231.72499999999999</v>
          </cell>
          <cell r="S888">
            <v>294.5</v>
          </cell>
          <cell r="T888">
            <v>30.8</v>
          </cell>
          <cell r="U888">
            <v>0</v>
          </cell>
          <cell r="BA888">
            <v>325.3</v>
          </cell>
          <cell r="BB888">
            <v>150</v>
          </cell>
          <cell r="BF888" t="str">
            <v>Resurtir</v>
          </cell>
        </row>
        <row r="889">
          <cell r="B889" t="str">
            <v>MONET SNOW</v>
          </cell>
          <cell r="R889">
            <v>40.774999999999999</v>
          </cell>
          <cell r="S889">
            <v>901.25</v>
          </cell>
          <cell r="T889">
            <v>89.5</v>
          </cell>
          <cell r="U889">
            <v>0</v>
          </cell>
          <cell r="BA889">
            <v>990.75</v>
          </cell>
          <cell r="BB889">
            <v>0</v>
          </cell>
          <cell r="BF889" t="str">
            <v>Ok</v>
          </cell>
        </row>
        <row r="890">
          <cell r="B890" t="str">
            <v>MONIQUE BLUESTONE</v>
          </cell>
          <cell r="R890">
            <v>4.95</v>
          </cell>
          <cell r="S890">
            <v>91.2</v>
          </cell>
          <cell r="T890">
            <v>5.3</v>
          </cell>
          <cell r="U890">
            <v>0</v>
          </cell>
          <cell r="BA890">
            <v>96.5</v>
          </cell>
          <cell r="BB890">
            <v>0</v>
          </cell>
          <cell r="BF890" t="str">
            <v>Ok</v>
          </cell>
        </row>
        <row r="891">
          <cell r="B891" t="str">
            <v>MONIQUE COTTON</v>
          </cell>
          <cell r="R891">
            <v>29.1</v>
          </cell>
          <cell r="S891">
            <v>135.5</v>
          </cell>
          <cell r="T891">
            <v>18.100000000000001</v>
          </cell>
          <cell r="U891">
            <v>0</v>
          </cell>
          <cell r="BA891">
            <v>353.6</v>
          </cell>
          <cell r="BB891">
            <v>105</v>
          </cell>
          <cell r="BF891" t="str">
            <v>Ok</v>
          </cell>
        </row>
        <row r="892">
          <cell r="B892" t="str">
            <v>MONIQUE DOMINO</v>
          </cell>
          <cell r="R892">
            <v>5.125</v>
          </cell>
          <cell r="S892">
            <v>655.8</v>
          </cell>
          <cell r="T892">
            <v>36.9</v>
          </cell>
          <cell r="U892">
            <v>0</v>
          </cell>
          <cell r="BA892">
            <v>692.69999999999993</v>
          </cell>
          <cell r="BB892">
            <v>0</v>
          </cell>
          <cell r="BF892" t="str">
            <v>Ok</v>
          </cell>
        </row>
        <row r="893">
          <cell r="B893" t="str">
            <v>MONIQUE DOVE</v>
          </cell>
          <cell r="R893">
            <v>69.7</v>
          </cell>
          <cell r="S893">
            <v>199.2</v>
          </cell>
          <cell r="T893">
            <v>49.7</v>
          </cell>
          <cell r="U893">
            <v>602.29999999999995</v>
          </cell>
          <cell r="BA893">
            <v>851.19999999999993</v>
          </cell>
          <cell r="BB893">
            <v>300</v>
          </cell>
          <cell r="BF893" t="str">
            <v>Ok</v>
          </cell>
        </row>
        <row r="894">
          <cell r="B894" t="str">
            <v>MONIQUE ECRU</v>
          </cell>
          <cell r="R894">
            <v>427.02499999999998</v>
          </cell>
          <cell r="S894">
            <v>520</v>
          </cell>
          <cell r="T894">
            <v>45.7</v>
          </cell>
          <cell r="U894">
            <v>0</v>
          </cell>
          <cell r="BA894">
            <v>2071.6999999999998</v>
          </cell>
          <cell r="BB894">
            <v>1115</v>
          </cell>
          <cell r="BF894" t="str">
            <v>Ok</v>
          </cell>
        </row>
        <row r="895">
          <cell r="B895" t="str">
            <v>MONIQUE PEBBLE</v>
          </cell>
          <cell r="R895">
            <v>10.45</v>
          </cell>
          <cell r="S895">
            <v>554.70000000000005</v>
          </cell>
          <cell r="T895">
            <v>17.100000000000001</v>
          </cell>
          <cell r="U895">
            <v>0</v>
          </cell>
          <cell r="BA895">
            <v>571.80000000000007</v>
          </cell>
          <cell r="BB895">
            <v>0</v>
          </cell>
          <cell r="BF895" t="str">
            <v>Ok</v>
          </cell>
        </row>
        <row r="896">
          <cell r="B896" t="str">
            <v>MONIQUE PORCELAIN</v>
          </cell>
          <cell r="R896">
            <v>28.024999999999999</v>
          </cell>
          <cell r="S896">
            <v>356.7</v>
          </cell>
          <cell r="T896">
            <v>11</v>
          </cell>
          <cell r="U896">
            <v>0</v>
          </cell>
          <cell r="BA896">
            <v>367.7</v>
          </cell>
          <cell r="BB896">
            <v>50</v>
          </cell>
          <cell r="BF896" t="str">
            <v>Ok</v>
          </cell>
        </row>
        <row r="897">
          <cell r="B897" t="str">
            <v>MONIQUE STEEL</v>
          </cell>
          <cell r="R897">
            <v>77.325000000000003</v>
          </cell>
          <cell r="S897">
            <v>138</v>
          </cell>
          <cell r="T897">
            <v>19.5</v>
          </cell>
          <cell r="U897">
            <v>0</v>
          </cell>
          <cell r="BA897">
            <v>769.5</v>
          </cell>
          <cell r="BB897">
            <v>0</v>
          </cell>
          <cell r="BF897" t="str">
            <v>Ok</v>
          </cell>
        </row>
        <row r="898">
          <cell r="B898" t="str">
            <v>MONIQUE TWINE</v>
          </cell>
          <cell r="R898">
            <v>99.600000000000009</v>
          </cell>
          <cell r="S898">
            <v>37</v>
          </cell>
          <cell r="T898">
            <v>12.8</v>
          </cell>
          <cell r="U898">
            <v>0</v>
          </cell>
          <cell r="BA898">
            <v>49.8</v>
          </cell>
          <cell r="BB898">
            <v>480</v>
          </cell>
          <cell r="BF898" t="str">
            <v>Resurtir</v>
          </cell>
        </row>
        <row r="899">
          <cell r="B899" t="str">
            <v>MONUMENT BEIGE</v>
          </cell>
          <cell r="R899">
            <v>5.5</v>
          </cell>
          <cell r="S899">
            <v>23.1</v>
          </cell>
          <cell r="T899">
            <v>10.9</v>
          </cell>
          <cell r="U899">
            <v>0</v>
          </cell>
          <cell r="BA899">
            <v>34</v>
          </cell>
          <cell r="BB899">
            <v>0</v>
          </cell>
          <cell r="BF899" t="str">
            <v>Ok</v>
          </cell>
        </row>
        <row r="900">
          <cell r="B900" t="str">
            <v>MONUMENT BEIGE-K</v>
          </cell>
          <cell r="R900">
            <v>4.25</v>
          </cell>
          <cell r="S900">
            <v>0</v>
          </cell>
          <cell r="T900">
            <v>13.3</v>
          </cell>
          <cell r="U900">
            <v>0</v>
          </cell>
          <cell r="BA900">
            <v>13.3</v>
          </cell>
          <cell r="BB900">
            <v>0</v>
          </cell>
          <cell r="BF900" t="str">
            <v>Resurtir</v>
          </cell>
        </row>
        <row r="901">
          <cell r="B901" t="str">
            <v>MONUMENT ECRU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BA901">
            <v>0</v>
          </cell>
          <cell r="BB901">
            <v>0</v>
          </cell>
          <cell r="BF901" t="str">
            <v>Resurtir</v>
          </cell>
        </row>
        <row r="902">
          <cell r="B902" t="str">
            <v>MONUMENT ECRU-K</v>
          </cell>
          <cell r="R902">
            <v>417.02499999999998</v>
          </cell>
          <cell r="S902">
            <v>605.70000000000005</v>
          </cell>
          <cell r="T902">
            <v>42.2</v>
          </cell>
          <cell r="U902">
            <v>0</v>
          </cell>
          <cell r="BA902">
            <v>1268.9000000000001</v>
          </cell>
          <cell r="BB902">
            <v>800</v>
          </cell>
          <cell r="BF902" t="str">
            <v>Resurtir</v>
          </cell>
        </row>
        <row r="903">
          <cell r="B903" t="str">
            <v>MONUMENT MICA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BA903">
            <v>0</v>
          </cell>
          <cell r="BB903">
            <v>200</v>
          </cell>
          <cell r="BF903" t="str">
            <v>Resurtir</v>
          </cell>
        </row>
        <row r="904">
          <cell r="B904" t="str">
            <v>MONUMENT MICA-A</v>
          </cell>
          <cell r="R904">
            <v>114.55</v>
          </cell>
          <cell r="S904">
            <v>687.5</v>
          </cell>
          <cell r="T904">
            <v>26.9</v>
          </cell>
          <cell r="U904">
            <v>0</v>
          </cell>
          <cell r="BA904">
            <v>714.4</v>
          </cell>
          <cell r="BB904">
            <v>50</v>
          </cell>
          <cell r="BF904" t="str">
            <v>Ok</v>
          </cell>
        </row>
        <row r="905">
          <cell r="B905" t="str">
            <v>MONUMENT MINERAL</v>
          </cell>
          <cell r="R905">
            <v>0</v>
          </cell>
          <cell r="S905">
            <v>0</v>
          </cell>
          <cell r="T905">
            <v>-0.54</v>
          </cell>
          <cell r="U905">
            <v>0</v>
          </cell>
          <cell r="BA905">
            <v>-0.54</v>
          </cell>
          <cell r="BB905">
            <v>0</v>
          </cell>
          <cell r="BF905" t="str">
            <v>Resurtir</v>
          </cell>
        </row>
        <row r="906">
          <cell r="B906" t="str">
            <v>MONUMENT MINERAL-K</v>
          </cell>
          <cell r="R906">
            <v>183.17499999999998</v>
          </cell>
          <cell r="S906">
            <v>286.2</v>
          </cell>
          <cell r="T906">
            <v>176.1</v>
          </cell>
          <cell r="U906">
            <v>0</v>
          </cell>
          <cell r="BA906">
            <v>462.29999999999995</v>
          </cell>
          <cell r="BB906">
            <v>700</v>
          </cell>
          <cell r="BF906" t="str">
            <v>Resurtir</v>
          </cell>
        </row>
        <row r="907">
          <cell r="B907" t="str">
            <v>MONUMENT SILVER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BA907">
            <v>0</v>
          </cell>
          <cell r="BB907">
            <v>0</v>
          </cell>
          <cell r="BF907" t="str">
            <v>Resurtir</v>
          </cell>
        </row>
        <row r="908">
          <cell r="B908" t="str">
            <v>MONUMENT SILVER-K</v>
          </cell>
          <cell r="R908">
            <v>31.85</v>
          </cell>
          <cell r="S908">
            <v>348.86</v>
          </cell>
          <cell r="T908">
            <v>41.9</v>
          </cell>
          <cell r="U908">
            <v>597.79999999999995</v>
          </cell>
          <cell r="BA908">
            <v>988.56</v>
          </cell>
          <cell r="BB908">
            <v>50</v>
          </cell>
          <cell r="BF908" t="str">
            <v>Ok</v>
          </cell>
        </row>
        <row r="909">
          <cell r="B909" t="str">
            <v>MONUMENT SLATE</v>
          </cell>
          <cell r="R909">
            <v>0</v>
          </cell>
          <cell r="S909">
            <v>0</v>
          </cell>
          <cell r="T909">
            <v>12.6</v>
          </cell>
          <cell r="U909">
            <v>0</v>
          </cell>
          <cell r="BA909">
            <v>12.6</v>
          </cell>
          <cell r="BB909">
            <v>0</v>
          </cell>
          <cell r="BF909" t="str">
            <v>Ok</v>
          </cell>
        </row>
        <row r="910">
          <cell r="B910" t="str">
            <v>MONUMENT SLATE-K</v>
          </cell>
          <cell r="R910">
            <v>65.45</v>
          </cell>
          <cell r="S910">
            <v>1227.57</v>
          </cell>
          <cell r="T910">
            <v>136.1</v>
          </cell>
          <cell r="U910">
            <v>0</v>
          </cell>
          <cell r="BA910">
            <v>1363.6699999999998</v>
          </cell>
          <cell r="BB910">
            <v>0</v>
          </cell>
          <cell r="BF910" t="str">
            <v>Ok</v>
          </cell>
        </row>
        <row r="911">
          <cell r="B911" t="str">
            <v>MONUMENT SMOKE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BA911">
            <v>0</v>
          </cell>
          <cell r="BB911">
            <v>0</v>
          </cell>
          <cell r="BF911" t="str">
            <v>Resurtir</v>
          </cell>
        </row>
        <row r="912">
          <cell r="B912" t="str">
            <v>MONUMENT SMOKE-K</v>
          </cell>
          <cell r="R912">
            <v>96.975000000000009</v>
          </cell>
          <cell r="S912">
            <v>405.3</v>
          </cell>
          <cell r="T912">
            <v>36.5</v>
          </cell>
          <cell r="U912">
            <v>0</v>
          </cell>
          <cell r="BA912">
            <v>441.8</v>
          </cell>
          <cell r="BB912">
            <v>400</v>
          </cell>
          <cell r="BF912" t="str">
            <v>Ok</v>
          </cell>
        </row>
        <row r="913">
          <cell r="B913" t="str">
            <v>MONUMENT STONE</v>
          </cell>
          <cell r="R913">
            <v>0</v>
          </cell>
          <cell r="S913">
            <v>240.45</v>
          </cell>
          <cell r="T913">
            <v>0</v>
          </cell>
          <cell r="U913">
            <v>0</v>
          </cell>
          <cell r="BA913">
            <v>240.45</v>
          </cell>
          <cell r="BB913">
            <v>0</v>
          </cell>
          <cell r="BF913" t="str">
            <v>Ok</v>
          </cell>
        </row>
        <row r="914">
          <cell r="B914" t="str">
            <v>MONUMENT STONE-K</v>
          </cell>
          <cell r="R914">
            <v>0</v>
          </cell>
          <cell r="S914">
            <v>1533.2</v>
          </cell>
          <cell r="T914">
            <v>18.600000000000001</v>
          </cell>
          <cell r="U914">
            <v>0</v>
          </cell>
          <cell r="BA914">
            <v>1551.8</v>
          </cell>
          <cell r="BB914">
            <v>0</v>
          </cell>
          <cell r="BF914" t="str">
            <v>Ok</v>
          </cell>
        </row>
        <row r="915">
          <cell r="B915" t="str">
            <v>MORGAN BLUEGREY</v>
          </cell>
          <cell r="R915">
            <v>0</v>
          </cell>
          <cell r="S915">
            <v>219.5</v>
          </cell>
          <cell r="T915">
            <v>6.6</v>
          </cell>
          <cell r="U915">
            <v>0</v>
          </cell>
          <cell r="BA915">
            <v>226.1</v>
          </cell>
          <cell r="BB915">
            <v>0</v>
          </cell>
          <cell r="BF915" t="str">
            <v>Ok</v>
          </cell>
        </row>
        <row r="916">
          <cell r="B916" t="str">
            <v>MORGAN DOVE</v>
          </cell>
          <cell r="R916">
            <v>28.25</v>
          </cell>
          <cell r="S916">
            <v>64.5</v>
          </cell>
          <cell r="T916">
            <v>23</v>
          </cell>
          <cell r="U916">
            <v>0</v>
          </cell>
          <cell r="BA916">
            <v>287.5</v>
          </cell>
          <cell r="BB916">
            <v>0</v>
          </cell>
          <cell r="BF916" t="str">
            <v>Ok</v>
          </cell>
        </row>
        <row r="917">
          <cell r="B917" t="str">
            <v>MORGAN ESPRESSO</v>
          </cell>
          <cell r="R917">
            <v>20.25</v>
          </cell>
          <cell r="S917">
            <v>0</v>
          </cell>
          <cell r="T917">
            <v>44.1</v>
          </cell>
          <cell r="U917">
            <v>0</v>
          </cell>
          <cell r="BA917">
            <v>187.1</v>
          </cell>
          <cell r="BB917">
            <v>0</v>
          </cell>
          <cell r="BF917" t="str">
            <v>Ok</v>
          </cell>
        </row>
        <row r="918">
          <cell r="B918" t="str">
            <v>MORGAN GRAVEL</v>
          </cell>
          <cell r="R918">
            <v>0</v>
          </cell>
          <cell r="S918">
            <v>28.6</v>
          </cell>
          <cell r="T918">
            <v>29.1</v>
          </cell>
          <cell r="U918">
            <v>0</v>
          </cell>
          <cell r="BA918">
            <v>199.7</v>
          </cell>
          <cell r="BB918">
            <v>0</v>
          </cell>
          <cell r="BF918" t="str">
            <v>Ok</v>
          </cell>
        </row>
        <row r="919">
          <cell r="B919" t="str">
            <v>MORGAN MERCURY</v>
          </cell>
          <cell r="R919">
            <v>2.25</v>
          </cell>
          <cell r="S919">
            <v>502.1</v>
          </cell>
          <cell r="T919">
            <v>32.74</v>
          </cell>
          <cell r="U919">
            <v>210</v>
          </cell>
          <cell r="BA919">
            <v>744.84</v>
          </cell>
          <cell r="BB919">
            <v>0</v>
          </cell>
          <cell r="BF919" t="str">
            <v>Ok</v>
          </cell>
        </row>
        <row r="920">
          <cell r="B920" t="str">
            <v>MORGAN MIDNIGHT</v>
          </cell>
          <cell r="R920">
            <v>0</v>
          </cell>
          <cell r="S920">
            <v>425.3</v>
          </cell>
          <cell r="T920">
            <v>8.9</v>
          </cell>
          <cell r="U920">
            <v>0</v>
          </cell>
          <cell r="BA920">
            <v>434.2</v>
          </cell>
          <cell r="BB920">
            <v>0</v>
          </cell>
          <cell r="BF920" t="str">
            <v>Ok</v>
          </cell>
        </row>
        <row r="921">
          <cell r="B921" t="str">
            <v>MORGAN SAND</v>
          </cell>
          <cell r="R921">
            <v>0.25</v>
          </cell>
          <cell r="S921">
            <v>263</v>
          </cell>
          <cell r="T921">
            <v>9</v>
          </cell>
          <cell r="U921">
            <v>0</v>
          </cell>
          <cell r="BA921">
            <v>272</v>
          </cell>
          <cell r="BB921">
            <v>0</v>
          </cell>
          <cell r="BF921" t="str">
            <v>Ok</v>
          </cell>
        </row>
        <row r="922">
          <cell r="B922" t="str">
            <v>MOSSA COTTON</v>
          </cell>
          <cell r="R922">
            <v>0</v>
          </cell>
          <cell r="S922">
            <v>95.4</v>
          </cell>
          <cell r="T922">
            <v>0</v>
          </cell>
          <cell r="U922">
            <v>0</v>
          </cell>
          <cell r="BA922">
            <v>95.4</v>
          </cell>
          <cell r="BB922">
            <v>0</v>
          </cell>
          <cell r="BF922" t="str">
            <v>Ok</v>
          </cell>
        </row>
        <row r="923">
          <cell r="B923" t="str">
            <v>MURANO MINK</v>
          </cell>
          <cell r="R923">
            <v>11.625</v>
          </cell>
          <cell r="S923">
            <v>160.22</v>
          </cell>
          <cell r="T923">
            <v>19.38</v>
          </cell>
          <cell r="U923">
            <v>0</v>
          </cell>
          <cell r="BA923">
            <v>179.6</v>
          </cell>
          <cell r="BB923">
            <v>0</v>
          </cell>
          <cell r="BF923" t="str">
            <v>Ok</v>
          </cell>
        </row>
        <row r="924">
          <cell r="B924" t="str">
            <v>MURANO MULTI</v>
          </cell>
          <cell r="R924">
            <v>18.95</v>
          </cell>
          <cell r="S924">
            <v>200.25</v>
          </cell>
          <cell r="T924">
            <v>14.5</v>
          </cell>
          <cell r="U924">
            <v>0</v>
          </cell>
          <cell r="BA924">
            <v>214.75</v>
          </cell>
          <cell r="BB924">
            <v>0</v>
          </cell>
          <cell r="BF924" t="str">
            <v>Ok</v>
          </cell>
        </row>
        <row r="925">
          <cell r="B925" t="str">
            <v>MURANO NATURAL</v>
          </cell>
          <cell r="R925">
            <v>55.75</v>
          </cell>
          <cell r="S925">
            <v>146.74</v>
          </cell>
          <cell r="T925">
            <v>54.75</v>
          </cell>
          <cell r="U925">
            <v>0</v>
          </cell>
          <cell r="BA925">
            <v>201.49</v>
          </cell>
          <cell r="BB925">
            <v>0</v>
          </cell>
          <cell r="BF925" t="str">
            <v>Resurtir</v>
          </cell>
        </row>
        <row r="926">
          <cell r="B926" t="str">
            <v>MURANO OATMEAL</v>
          </cell>
          <cell r="R926">
            <v>13.5</v>
          </cell>
          <cell r="S926">
            <v>88.32</v>
          </cell>
          <cell r="T926">
            <v>18.59</v>
          </cell>
          <cell r="U926">
            <v>85.4</v>
          </cell>
          <cell r="BA926">
            <v>192.31</v>
          </cell>
          <cell r="BB926">
            <v>0</v>
          </cell>
          <cell r="BF926" t="str">
            <v>Ok</v>
          </cell>
        </row>
        <row r="927">
          <cell r="B927" t="str">
            <v>MURANO PEARL</v>
          </cell>
          <cell r="R927">
            <v>38.25</v>
          </cell>
          <cell r="S927">
            <v>49.68</v>
          </cell>
          <cell r="T927">
            <v>23.2</v>
          </cell>
          <cell r="U927">
            <v>0</v>
          </cell>
          <cell r="BA927">
            <v>171.88</v>
          </cell>
          <cell r="BB927">
            <v>0</v>
          </cell>
          <cell r="BF927" t="str">
            <v>Resurtir</v>
          </cell>
        </row>
        <row r="928">
          <cell r="B928" t="str">
            <v>MUSTACHE IVORY</v>
          </cell>
          <cell r="R928">
            <v>85.564999999999998</v>
          </cell>
          <cell r="S928">
            <v>278.44</v>
          </cell>
          <cell r="T928">
            <v>0</v>
          </cell>
          <cell r="U928">
            <v>0</v>
          </cell>
          <cell r="BA928">
            <v>278.44</v>
          </cell>
          <cell r="BB928">
            <v>100</v>
          </cell>
          <cell r="BF928" t="str">
            <v>Resurtir</v>
          </cell>
        </row>
        <row r="929">
          <cell r="B929" t="str">
            <v>NADIA ECRU</v>
          </cell>
          <cell r="R929">
            <v>1</v>
          </cell>
          <cell r="S929">
            <v>133.5</v>
          </cell>
          <cell r="T929">
            <v>58.5</v>
          </cell>
          <cell r="U929">
            <v>0</v>
          </cell>
          <cell r="BA929">
            <v>192</v>
          </cell>
          <cell r="BB929">
            <v>0</v>
          </cell>
          <cell r="BF929" t="str">
            <v>Ok</v>
          </cell>
        </row>
        <row r="930">
          <cell r="B930" t="str">
            <v>NADIA IVORY</v>
          </cell>
          <cell r="R930">
            <v>4.875</v>
          </cell>
          <cell r="S930">
            <v>249.8</v>
          </cell>
          <cell r="T930">
            <v>8.5</v>
          </cell>
          <cell r="U930">
            <v>412</v>
          </cell>
          <cell r="BA930">
            <v>670.3</v>
          </cell>
          <cell r="BB930">
            <v>0</v>
          </cell>
          <cell r="BF930" t="str">
            <v>Ok</v>
          </cell>
        </row>
        <row r="931">
          <cell r="B931" t="str">
            <v>NADIM FLAX</v>
          </cell>
          <cell r="R931">
            <v>8.4499999999999993</v>
          </cell>
          <cell r="S931">
            <v>437.3</v>
          </cell>
          <cell r="T931">
            <v>36.700000000000003</v>
          </cell>
          <cell r="U931">
            <v>0</v>
          </cell>
          <cell r="BA931">
            <v>474</v>
          </cell>
          <cell r="BB931">
            <v>0</v>
          </cell>
          <cell r="BF931" t="str">
            <v>Ok</v>
          </cell>
        </row>
        <row r="932">
          <cell r="B932" t="str">
            <v>NADIM LINEN</v>
          </cell>
          <cell r="R932">
            <v>112.77500000000001</v>
          </cell>
          <cell r="S932">
            <v>1084.5</v>
          </cell>
          <cell r="T932">
            <v>86.76</v>
          </cell>
          <cell r="U932">
            <v>0</v>
          </cell>
          <cell r="BA932">
            <v>1171.26</v>
          </cell>
          <cell r="BB932">
            <v>200</v>
          </cell>
          <cell r="BF932" t="str">
            <v>Ok</v>
          </cell>
        </row>
        <row r="933">
          <cell r="B933" t="str">
            <v>NADIM WHITE</v>
          </cell>
          <cell r="R933">
            <v>12.2</v>
          </cell>
          <cell r="S933">
            <v>448.8</v>
          </cell>
          <cell r="T933">
            <v>19.399999999999999</v>
          </cell>
          <cell r="U933">
            <v>0</v>
          </cell>
          <cell r="BA933">
            <v>468.2</v>
          </cell>
          <cell r="BB933">
            <v>0</v>
          </cell>
          <cell r="BF933" t="str">
            <v>Ok</v>
          </cell>
        </row>
        <row r="934">
          <cell r="B934" t="str">
            <v>NALA BLACK</v>
          </cell>
          <cell r="R934">
            <v>1.5249999999999999</v>
          </cell>
          <cell r="S934">
            <v>590.70000000000005</v>
          </cell>
          <cell r="T934">
            <v>12.4</v>
          </cell>
          <cell r="U934">
            <v>0</v>
          </cell>
          <cell r="BA934">
            <v>603.1</v>
          </cell>
          <cell r="BB934">
            <v>150</v>
          </cell>
          <cell r="BF934" t="str">
            <v>Ok</v>
          </cell>
        </row>
        <row r="935">
          <cell r="B935" t="str">
            <v>NALA IRON</v>
          </cell>
          <cell r="R935">
            <v>0.75</v>
          </cell>
          <cell r="S935">
            <v>385.8</v>
          </cell>
          <cell r="T935">
            <v>7.7</v>
          </cell>
          <cell r="U935">
            <v>0</v>
          </cell>
          <cell r="BA935">
            <v>393.5</v>
          </cell>
          <cell r="BB935">
            <v>0</v>
          </cell>
          <cell r="BF935" t="str">
            <v>Ok</v>
          </cell>
        </row>
        <row r="936">
          <cell r="B936" t="str">
            <v>NALA NAVY</v>
          </cell>
          <cell r="R936">
            <v>6.375</v>
          </cell>
          <cell r="S936">
            <v>815</v>
          </cell>
          <cell r="T936">
            <v>7.9</v>
          </cell>
          <cell r="U936">
            <v>0</v>
          </cell>
          <cell r="BA936">
            <v>822.9</v>
          </cell>
          <cell r="BB936">
            <v>0</v>
          </cell>
          <cell r="BF936" t="str">
            <v>Ok</v>
          </cell>
        </row>
        <row r="937">
          <cell r="B937" t="str">
            <v>NALA SAND</v>
          </cell>
          <cell r="R937">
            <v>10.050000000000001</v>
          </cell>
          <cell r="S937">
            <v>696.7</v>
          </cell>
          <cell r="T937">
            <v>0</v>
          </cell>
          <cell r="U937">
            <v>0</v>
          </cell>
          <cell r="BA937">
            <v>696.7</v>
          </cell>
          <cell r="BB937">
            <v>0</v>
          </cell>
          <cell r="BF937" t="str">
            <v>Ok</v>
          </cell>
        </row>
        <row r="938">
          <cell r="B938" t="str">
            <v>NALA SILVER</v>
          </cell>
          <cell r="R938">
            <v>3.125</v>
          </cell>
          <cell r="S938">
            <v>843.9</v>
          </cell>
          <cell r="T938">
            <v>0</v>
          </cell>
          <cell r="U938">
            <v>0</v>
          </cell>
          <cell r="BA938">
            <v>843.9</v>
          </cell>
          <cell r="BB938">
            <v>0</v>
          </cell>
          <cell r="BF938" t="str">
            <v>Ok</v>
          </cell>
        </row>
        <row r="939">
          <cell r="B939" t="str">
            <v>NALA SNOW</v>
          </cell>
          <cell r="R939">
            <v>4.4000000000000004</v>
          </cell>
          <cell r="S939">
            <v>204.8</v>
          </cell>
          <cell r="T939">
            <v>0</v>
          </cell>
          <cell r="U939">
            <v>0</v>
          </cell>
          <cell r="BA939">
            <v>204.8</v>
          </cell>
          <cell r="BB939">
            <v>0</v>
          </cell>
          <cell r="BF939" t="str">
            <v>Ok</v>
          </cell>
        </row>
        <row r="940">
          <cell r="B940" t="str">
            <v>NAPOLES CHARCOAL</v>
          </cell>
          <cell r="R940">
            <v>0.25</v>
          </cell>
          <cell r="S940">
            <v>38</v>
          </cell>
          <cell r="T940">
            <v>10.4</v>
          </cell>
          <cell r="U940">
            <v>0</v>
          </cell>
          <cell r="BA940">
            <v>48.4</v>
          </cell>
          <cell r="BB940">
            <v>0</v>
          </cell>
          <cell r="BF940" t="str">
            <v>Ok</v>
          </cell>
        </row>
        <row r="941">
          <cell r="B941" t="str">
            <v>NAUTIC BEIGE</v>
          </cell>
          <cell r="R941">
            <v>5</v>
          </cell>
          <cell r="S941">
            <v>165.28</v>
          </cell>
          <cell r="T941">
            <v>16.579999999999998</v>
          </cell>
          <cell r="U941">
            <v>0</v>
          </cell>
          <cell r="BA941">
            <v>181.86</v>
          </cell>
          <cell r="BB941">
            <v>0</v>
          </cell>
          <cell r="BF941" t="str">
            <v>Ok</v>
          </cell>
        </row>
        <row r="942">
          <cell r="B942" t="str">
            <v>NAUTIC COBALT</v>
          </cell>
          <cell r="R942">
            <v>3.75</v>
          </cell>
          <cell r="S942">
            <v>333.44</v>
          </cell>
          <cell r="T942">
            <v>8.3000000000000007</v>
          </cell>
          <cell r="U942">
            <v>0</v>
          </cell>
          <cell r="BA942">
            <v>341.74</v>
          </cell>
          <cell r="BB942">
            <v>0</v>
          </cell>
          <cell r="BF942" t="str">
            <v>Ok</v>
          </cell>
        </row>
        <row r="943">
          <cell r="B943" t="str">
            <v>NAUTIC EBONY</v>
          </cell>
          <cell r="R943">
            <v>9</v>
          </cell>
          <cell r="S943">
            <v>138.32</v>
          </cell>
          <cell r="T943">
            <v>9.08</v>
          </cell>
          <cell r="U943">
            <v>0</v>
          </cell>
          <cell r="BA943">
            <v>147.4</v>
          </cell>
          <cell r="BB943">
            <v>0</v>
          </cell>
          <cell r="BF943" t="str">
            <v>Ok</v>
          </cell>
        </row>
        <row r="944">
          <cell r="B944" t="str">
            <v>NAUTIC GREY</v>
          </cell>
          <cell r="R944">
            <v>9.3949999999999996</v>
          </cell>
          <cell r="S944">
            <v>280.86</v>
          </cell>
          <cell r="T944">
            <v>18</v>
          </cell>
          <cell r="U944">
            <v>0</v>
          </cell>
          <cell r="BA944">
            <v>298.86</v>
          </cell>
          <cell r="BB944">
            <v>0</v>
          </cell>
          <cell r="BF944" t="str">
            <v>Ok</v>
          </cell>
        </row>
        <row r="945">
          <cell r="B945" t="str">
            <v>NAUTIC PORCELAIN</v>
          </cell>
          <cell r="R945">
            <v>3</v>
          </cell>
          <cell r="S945">
            <v>210.32</v>
          </cell>
          <cell r="T945">
            <v>0</v>
          </cell>
          <cell r="U945">
            <v>0</v>
          </cell>
          <cell r="BA945">
            <v>210.32</v>
          </cell>
          <cell r="BB945">
            <v>0</v>
          </cell>
          <cell r="BF945" t="str">
            <v>Ok</v>
          </cell>
        </row>
        <row r="946">
          <cell r="B946" t="str">
            <v>NAUTIC SNOW</v>
          </cell>
          <cell r="R946">
            <v>1.0625</v>
          </cell>
          <cell r="S946">
            <v>209.71</v>
          </cell>
          <cell r="T946">
            <v>19.3</v>
          </cell>
          <cell r="U946">
            <v>0</v>
          </cell>
          <cell r="BA946">
            <v>229.01000000000002</v>
          </cell>
          <cell r="BB946">
            <v>0</v>
          </cell>
          <cell r="BF946" t="str">
            <v>Ok</v>
          </cell>
        </row>
        <row r="947">
          <cell r="B947" t="str">
            <v>NAUTIC WOOD</v>
          </cell>
          <cell r="R947">
            <v>10.025</v>
          </cell>
          <cell r="S947">
            <v>146.32</v>
          </cell>
          <cell r="T947">
            <v>11.5</v>
          </cell>
          <cell r="U947">
            <v>0</v>
          </cell>
          <cell r="BA947">
            <v>157.82</v>
          </cell>
          <cell r="BB947">
            <v>0</v>
          </cell>
          <cell r="BF947" t="str">
            <v>Ok</v>
          </cell>
        </row>
        <row r="948">
          <cell r="B948" t="str">
            <v>NETHERLAND TAUPE</v>
          </cell>
          <cell r="R948">
            <v>2.95</v>
          </cell>
          <cell r="S948">
            <v>89.8</v>
          </cell>
          <cell r="T948">
            <v>0</v>
          </cell>
          <cell r="U948">
            <v>0</v>
          </cell>
          <cell r="BA948">
            <v>89.8</v>
          </cell>
          <cell r="BB948">
            <v>0</v>
          </cell>
          <cell r="BF948" t="str">
            <v>Ok</v>
          </cell>
        </row>
        <row r="949">
          <cell r="B949" t="str">
            <v>NIMBUS ECRU</v>
          </cell>
          <cell r="R949">
            <v>335.63499999999999</v>
          </cell>
          <cell r="S949">
            <v>402.7</v>
          </cell>
          <cell r="T949">
            <v>37.86</v>
          </cell>
          <cell r="U949">
            <v>325.7</v>
          </cell>
          <cell r="BA949">
            <v>1117.26</v>
          </cell>
          <cell r="BB949">
            <v>650</v>
          </cell>
          <cell r="BF949" t="str">
            <v>Resurtir</v>
          </cell>
        </row>
        <row r="950">
          <cell r="B950" t="str">
            <v>NIMBUS NATURAL</v>
          </cell>
          <cell r="R950">
            <v>72.025000000000006</v>
          </cell>
          <cell r="S950">
            <v>225.7</v>
          </cell>
          <cell r="T950">
            <v>61.4</v>
          </cell>
          <cell r="U950">
            <v>187.7</v>
          </cell>
          <cell r="BA950">
            <v>474.79999999999995</v>
          </cell>
          <cell r="BB950">
            <v>480</v>
          </cell>
          <cell r="BF950" t="str">
            <v>Resurtir</v>
          </cell>
        </row>
        <row r="951">
          <cell r="B951" t="str">
            <v>NIMBUS TAUPE</v>
          </cell>
          <cell r="R951">
            <v>20.875</v>
          </cell>
          <cell r="S951">
            <v>615.5</v>
          </cell>
          <cell r="T951">
            <v>24.8</v>
          </cell>
          <cell r="U951">
            <v>0</v>
          </cell>
          <cell r="BA951">
            <v>640.29999999999995</v>
          </cell>
          <cell r="BB951">
            <v>200</v>
          </cell>
          <cell r="BF951" t="str">
            <v>Ok</v>
          </cell>
        </row>
        <row r="952">
          <cell r="B952" t="str">
            <v>NINA ECRU</v>
          </cell>
          <cell r="R952">
            <v>5.15</v>
          </cell>
          <cell r="S952">
            <v>101.6</v>
          </cell>
          <cell r="T952">
            <v>34.35</v>
          </cell>
          <cell r="U952">
            <v>0</v>
          </cell>
          <cell r="BA952">
            <v>135.94999999999999</v>
          </cell>
          <cell r="BB952">
            <v>200</v>
          </cell>
          <cell r="BF952" t="str">
            <v>Resurtir</v>
          </cell>
        </row>
        <row r="953">
          <cell r="B953" t="str">
            <v>NINA IVORY</v>
          </cell>
          <cell r="R953">
            <v>1.3</v>
          </cell>
          <cell r="S953">
            <v>0</v>
          </cell>
          <cell r="T953">
            <v>6.95</v>
          </cell>
          <cell r="U953">
            <v>202.5</v>
          </cell>
          <cell r="BA953">
            <v>209.45</v>
          </cell>
          <cell r="BB953">
            <v>0</v>
          </cell>
          <cell r="BF953" t="str">
            <v>Ok</v>
          </cell>
        </row>
        <row r="954">
          <cell r="B954" t="str">
            <v>NOAH ECRU</v>
          </cell>
          <cell r="R954">
            <v>3.875</v>
          </cell>
          <cell r="S954">
            <v>102.2</v>
          </cell>
          <cell r="T954">
            <v>12.6</v>
          </cell>
          <cell r="U954">
            <v>542.5</v>
          </cell>
          <cell r="BA954">
            <v>657.3</v>
          </cell>
          <cell r="BB954">
            <v>0</v>
          </cell>
          <cell r="BF954" t="str">
            <v>Ok</v>
          </cell>
        </row>
        <row r="955">
          <cell r="B955" t="str">
            <v>NOAH IVORY</v>
          </cell>
          <cell r="R955">
            <v>30.5</v>
          </cell>
          <cell r="S955">
            <v>30.8</v>
          </cell>
          <cell r="T955">
            <v>0</v>
          </cell>
          <cell r="U955">
            <v>0</v>
          </cell>
          <cell r="BA955">
            <v>310.8</v>
          </cell>
          <cell r="BB955">
            <v>200</v>
          </cell>
          <cell r="BF955" t="str">
            <v>Ok</v>
          </cell>
        </row>
        <row r="956">
          <cell r="B956" t="str">
            <v>NORA BITTER</v>
          </cell>
          <cell r="R956">
            <v>12.375</v>
          </cell>
          <cell r="S956">
            <v>31.1</v>
          </cell>
          <cell r="T956">
            <v>5.4</v>
          </cell>
          <cell r="U956">
            <v>106</v>
          </cell>
          <cell r="BA956">
            <v>292.5</v>
          </cell>
          <cell r="BB956">
            <v>0</v>
          </cell>
          <cell r="BF956" t="str">
            <v>Ok</v>
          </cell>
        </row>
        <row r="957">
          <cell r="B957" t="str">
            <v>NORA ECRU</v>
          </cell>
          <cell r="R957">
            <v>43.325000000000003</v>
          </cell>
          <cell r="S957">
            <v>272</v>
          </cell>
          <cell r="T957">
            <v>59.4</v>
          </cell>
          <cell r="U957">
            <v>39</v>
          </cell>
          <cell r="BA957">
            <v>370.4</v>
          </cell>
          <cell r="BB957">
            <v>0</v>
          </cell>
          <cell r="BF957" t="str">
            <v>Ok</v>
          </cell>
        </row>
        <row r="958">
          <cell r="B958" t="str">
            <v>NORA IVORY</v>
          </cell>
          <cell r="R958">
            <v>60.262500000000003</v>
          </cell>
          <cell r="S958">
            <v>20.5</v>
          </cell>
          <cell r="T958">
            <v>54.55</v>
          </cell>
          <cell r="U958">
            <v>0</v>
          </cell>
          <cell r="BA958">
            <v>475.05</v>
          </cell>
          <cell r="BB958">
            <v>0</v>
          </cell>
          <cell r="BF958" t="str">
            <v>Ok</v>
          </cell>
        </row>
        <row r="959">
          <cell r="B959" t="str">
            <v>NORDIC BROWN</v>
          </cell>
          <cell r="R959">
            <v>2.5499999999999998</v>
          </cell>
          <cell r="S959">
            <v>32.9</v>
          </cell>
          <cell r="T959">
            <v>0</v>
          </cell>
          <cell r="U959">
            <v>120.8</v>
          </cell>
          <cell r="BA959">
            <v>153.69999999999999</v>
          </cell>
          <cell r="BB959">
            <v>0</v>
          </cell>
          <cell r="BF959" t="str">
            <v>Ok</v>
          </cell>
        </row>
        <row r="960">
          <cell r="B960" t="str">
            <v>NORDIC DOMINO</v>
          </cell>
          <cell r="R960">
            <v>4</v>
          </cell>
          <cell r="S960">
            <v>30.1</v>
          </cell>
          <cell r="T960">
            <v>11</v>
          </cell>
          <cell r="U960">
            <v>0</v>
          </cell>
          <cell r="BA960">
            <v>41.1</v>
          </cell>
          <cell r="BB960">
            <v>0</v>
          </cell>
          <cell r="BF960" t="str">
            <v>Ok</v>
          </cell>
        </row>
        <row r="961">
          <cell r="B961" t="str">
            <v>NORDIC GREY</v>
          </cell>
          <cell r="R961">
            <v>2.5</v>
          </cell>
          <cell r="S961">
            <v>78.2</v>
          </cell>
          <cell r="T961">
            <v>0</v>
          </cell>
          <cell r="U961">
            <v>0</v>
          </cell>
          <cell r="BA961">
            <v>78.2</v>
          </cell>
          <cell r="BB961">
            <v>0</v>
          </cell>
          <cell r="BF961" t="str">
            <v>Ok</v>
          </cell>
        </row>
        <row r="962">
          <cell r="B962" t="str">
            <v>NOVARA ONYX</v>
          </cell>
          <cell r="R962">
            <v>15.575000000000001</v>
          </cell>
          <cell r="S962">
            <v>22.6</v>
          </cell>
          <cell r="T962">
            <v>0</v>
          </cell>
          <cell r="U962">
            <v>0</v>
          </cell>
          <cell r="BA962">
            <v>123.6</v>
          </cell>
          <cell r="BB962">
            <v>15</v>
          </cell>
          <cell r="BF962" t="str">
            <v>Ok</v>
          </cell>
        </row>
        <row r="963">
          <cell r="B963" t="str">
            <v>NUDE BEACH APPLE</v>
          </cell>
          <cell r="R963">
            <v>3.5250000000000004</v>
          </cell>
          <cell r="S963">
            <v>54.6</v>
          </cell>
          <cell r="T963">
            <v>0</v>
          </cell>
          <cell r="U963">
            <v>0</v>
          </cell>
          <cell r="BA963">
            <v>54.6</v>
          </cell>
          <cell r="BB963">
            <v>0</v>
          </cell>
          <cell r="BF963" t="str">
            <v>Ok</v>
          </cell>
        </row>
        <row r="964">
          <cell r="B964" t="str">
            <v>NUDE BEACH BLUE</v>
          </cell>
          <cell r="R964">
            <v>0.32500000000000001</v>
          </cell>
          <cell r="S964">
            <v>74.78</v>
          </cell>
          <cell r="T964">
            <v>0</v>
          </cell>
          <cell r="U964">
            <v>0</v>
          </cell>
          <cell r="BA964">
            <v>74.78</v>
          </cell>
          <cell r="BB964">
            <v>0</v>
          </cell>
          <cell r="BF964" t="str">
            <v>Ok</v>
          </cell>
        </row>
        <row r="965">
          <cell r="B965" t="str">
            <v>NUDE BEACH CARBON</v>
          </cell>
          <cell r="R965">
            <v>4.875</v>
          </cell>
          <cell r="S965">
            <v>123.56</v>
          </cell>
          <cell r="T965">
            <v>0</v>
          </cell>
          <cell r="U965">
            <v>0</v>
          </cell>
          <cell r="BA965">
            <v>123.56</v>
          </cell>
          <cell r="BB965">
            <v>0</v>
          </cell>
          <cell r="BF965" t="str">
            <v>Ok</v>
          </cell>
        </row>
        <row r="966">
          <cell r="B966" t="str">
            <v>NUDE BEACH DARK NAVY</v>
          </cell>
          <cell r="R966">
            <v>0.27500000000000002</v>
          </cell>
          <cell r="S966">
            <v>34.08</v>
          </cell>
          <cell r="T966">
            <v>0</v>
          </cell>
          <cell r="U966">
            <v>0</v>
          </cell>
          <cell r="BA966">
            <v>34.08</v>
          </cell>
          <cell r="BB966">
            <v>0</v>
          </cell>
          <cell r="BF966" t="str">
            <v>Ok</v>
          </cell>
        </row>
        <row r="967">
          <cell r="B967" t="str">
            <v>NUDE BEACH GREY</v>
          </cell>
          <cell r="R967">
            <v>0</v>
          </cell>
          <cell r="S967">
            <v>142.47</v>
          </cell>
          <cell r="T967">
            <v>0</v>
          </cell>
          <cell r="U967">
            <v>0</v>
          </cell>
          <cell r="BA967">
            <v>142.47</v>
          </cell>
          <cell r="BB967">
            <v>0</v>
          </cell>
          <cell r="BF967" t="str">
            <v>Ok</v>
          </cell>
        </row>
        <row r="968">
          <cell r="B968" t="str">
            <v>NUDE BEACH LINEN</v>
          </cell>
          <cell r="R968">
            <v>22.325000000000003</v>
          </cell>
          <cell r="S968">
            <v>78.91</v>
          </cell>
          <cell r="T968">
            <v>34.53</v>
          </cell>
          <cell r="U968">
            <v>0</v>
          </cell>
          <cell r="BA968">
            <v>113.44</v>
          </cell>
          <cell r="BB968">
            <v>0</v>
          </cell>
          <cell r="BF968" t="str">
            <v>Ok</v>
          </cell>
        </row>
        <row r="969">
          <cell r="B969" t="str">
            <v>NUDE BEACH NATURAL</v>
          </cell>
          <cell r="R969">
            <v>52.957499999999996</v>
          </cell>
          <cell r="S969">
            <v>127.84</v>
          </cell>
          <cell r="T969">
            <v>36.92</v>
          </cell>
          <cell r="U969">
            <v>0</v>
          </cell>
          <cell r="BA969">
            <v>312.76</v>
          </cell>
          <cell r="BB969">
            <v>0</v>
          </cell>
          <cell r="BF969" t="str">
            <v>Ok</v>
          </cell>
        </row>
        <row r="970">
          <cell r="B970" t="str">
            <v>NUDE BEACH NAVY</v>
          </cell>
          <cell r="R970">
            <v>5</v>
          </cell>
          <cell r="S970">
            <v>48.74</v>
          </cell>
          <cell r="T970">
            <v>0</v>
          </cell>
          <cell r="U970">
            <v>0</v>
          </cell>
          <cell r="BA970">
            <v>48.74</v>
          </cell>
          <cell r="BB970">
            <v>0</v>
          </cell>
          <cell r="BF970" t="str">
            <v>Ok</v>
          </cell>
        </row>
        <row r="971">
          <cell r="B971" t="str">
            <v>NUDE BEACH ORANGE</v>
          </cell>
          <cell r="R971">
            <v>0.32500000000000001</v>
          </cell>
          <cell r="S971">
            <v>48.83</v>
          </cell>
          <cell r="T971">
            <v>13.05</v>
          </cell>
          <cell r="U971">
            <v>0</v>
          </cell>
          <cell r="BA971">
            <v>61.879999999999995</v>
          </cell>
          <cell r="BB971">
            <v>0</v>
          </cell>
          <cell r="BF971" t="str">
            <v>Ok</v>
          </cell>
        </row>
        <row r="972">
          <cell r="B972" t="str">
            <v>NUDE BEACH OVERCAST</v>
          </cell>
          <cell r="R972">
            <v>9.4250000000000007</v>
          </cell>
          <cell r="S972">
            <v>83.66</v>
          </cell>
          <cell r="T972">
            <v>0</v>
          </cell>
          <cell r="U972">
            <v>48.55</v>
          </cell>
          <cell r="BA972">
            <v>132.20999999999998</v>
          </cell>
          <cell r="BB972">
            <v>0</v>
          </cell>
          <cell r="BF972" t="str">
            <v>Ok</v>
          </cell>
        </row>
        <row r="973">
          <cell r="B973" t="str">
            <v>NUDE BEACH SKY</v>
          </cell>
          <cell r="R973">
            <v>27.77</v>
          </cell>
          <cell r="S973">
            <v>291.81</v>
          </cell>
          <cell r="T973">
            <v>10.35</v>
          </cell>
          <cell r="U973">
            <v>48.55</v>
          </cell>
          <cell r="BA973">
            <v>537.71</v>
          </cell>
          <cell r="BB973">
            <v>0</v>
          </cell>
          <cell r="BF973" t="str">
            <v>Ok</v>
          </cell>
        </row>
        <row r="974">
          <cell r="B974" t="str">
            <v>NUDE BEACH TEAL</v>
          </cell>
          <cell r="R974">
            <v>0</v>
          </cell>
          <cell r="S974">
            <v>48.92</v>
          </cell>
          <cell r="T974">
            <v>14.2</v>
          </cell>
          <cell r="U974">
            <v>0</v>
          </cell>
          <cell r="BA974">
            <v>63.120000000000005</v>
          </cell>
          <cell r="BB974">
            <v>0</v>
          </cell>
          <cell r="BF974" t="str">
            <v>Ok</v>
          </cell>
        </row>
        <row r="975">
          <cell r="B975" t="str">
            <v>NUDE BEACH WHITE</v>
          </cell>
          <cell r="R975">
            <v>33.475000000000001</v>
          </cell>
          <cell r="S975">
            <v>20.55</v>
          </cell>
          <cell r="T975">
            <v>5.27</v>
          </cell>
          <cell r="U975">
            <v>0</v>
          </cell>
          <cell r="BA975">
            <v>125.82</v>
          </cell>
          <cell r="BB975">
            <v>0</v>
          </cell>
          <cell r="BF975" t="str">
            <v>Resurtir</v>
          </cell>
        </row>
        <row r="976">
          <cell r="B976" t="str">
            <v>NUDE BEACH YELLOW</v>
          </cell>
          <cell r="R976">
            <v>0.7</v>
          </cell>
          <cell r="S976">
            <v>46.67</v>
          </cell>
          <cell r="T976">
            <v>0</v>
          </cell>
          <cell r="U976">
            <v>0</v>
          </cell>
          <cell r="BA976">
            <v>96.67</v>
          </cell>
          <cell r="BB976">
            <v>0</v>
          </cell>
          <cell r="BF976" t="str">
            <v>Ok</v>
          </cell>
        </row>
        <row r="977">
          <cell r="B977" t="str">
            <v>NUVOLA SNOW</v>
          </cell>
          <cell r="R977">
            <v>1.55</v>
          </cell>
          <cell r="S977">
            <v>103.05</v>
          </cell>
          <cell r="T977">
            <v>0</v>
          </cell>
          <cell r="U977">
            <v>0</v>
          </cell>
          <cell r="BA977">
            <v>103.05</v>
          </cell>
          <cell r="BB977">
            <v>0</v>
          </cell>
          <cell r="BF977" t="str">
            <v>Ok</v>
          </cell>
        </row>
        <row r="978">
          <cell r="B978" t="str">
            <v>OCALA GRAVEL</v>
          </cell>
          <cell r="R978">
            <v>20.950000000000003</v>
          </cell>
          <cell r="S978">
            <v>204.27</v>
          </cell>
          <cell r="T978">
            <v>17.46</v>
          </cell>
          <cell r="U978">
            <v>0</v>
          </cell>
          <cell r="BA978">
            <v>221.73000000000002</v>
          </cell>
          <cell r="BB978">
            <v>0</v>
          </cell>
          <cell r="BF978" t="str">
            <v>Ok</v>
          </cell>
        </row>
        <row r="979">
          <cell r="B979" t="str">
            <v>OCALA LATTE</v>
          </cell>
          <cell r="R979">
            <v>50.94</v>
          </cell>
          <cell r="S979">
            <v>51.02</v>
          </cell>
          <cell r="T979">
            <v>11.21</v>
          </cell>
          <cell r="U979">
            <v>0</v>
          </cell>
          <cell r="BA979">
            <v>312.23</v>
          </cell>
          <cell r="BB979">
            <v>0</v>
          </cell>
          <cell r="BF979" t="str">
            <v>Ok</v>
          </cell>
        </row>
        <row r="980">
          <cell r="B980" t="str">
            <v>OCALA PEARL</v>
          </cell>
          <cell r="R980">
            <v>3.75</v>
          </cell>
          <cell r="S980">
            <v>45.4</v>
          </cell>
          <cell r="T980">
            <v>0</v>
          </cell>
          <cell r="U980">
            <v>0</v>
          </cell>
          <cell r="BA980">
            <v>143.4</v>
          </cell>
          <cell r="BB980">
            <v>0</v>
          </cell>
          <cell r="BF980" t="str">
            <v>Ok</v>
          </cell>
        </row>
        <row r="981">
          <cell r="B981" t="str">
            <v>OCALA TEAL</v>
          </cell>
          <cell r="R981">
            <v>10</v>
          </cell>
          <cell r="S981">
            <v>101.68</v>
          </cell>
          <cell r="T981">
            <v>15.98</v>
          </cell>
          <cell r="U981">
            <v>0</v>
          </cell>
          <cell r="BA981">
            <v>117.66000000000001</v>
          </cell>
          <cell r="BB981">
            <v>0</v>
          </cell>
          <cell r="BF981" t="str">
            <v>Ok</v>
          </cell>
        </row>
        <row r="982">
          <cell r="B982" t="str">
            <v>OCALA ZINC</v>
          </cell>
          <cell r="R982">
            <v>6.5</v>
          </cell>
          <cell r="S982">
            <v>37.24</v>
          </cell>
          <cell r="T982">
            <v>5.37</v>
          </cell>
          <cell r="U982">
            <v>0</v>
          </cell>
          <cell r="BA982">
            <v>92.61</v>
          </cell>
          <cell r="BB982">
            <v>150</v>
          </cell>
          <cell r="BF982" t="str">
            <v>Resurtir</v>
          </cell>
        </row>
        <row r="983">
          <cell r="B983" t="str">
            <v>ODYSSEY FAWN</v>
          </cell>
          <cell r="R983">
            <v>243.32</v>
          </cell>
          <cell r="S983">
            <v>401.2</v>
          </cell>
          <cell r="T983">
            <v>7.24</v>
          </cell>
          <cell r="U983">
            <v>0</v>
          </cell>
          <cell r="BA983">
            <v>1208.44</v>
          </cell>
          <cell r="BB983">
            <v>760</v>
          </cell>
          <cell r="BF983" t="str">
            <v>Ok</v>
          </cell>
        </row>
        <row r="984">
          <cell r="B984" t="str">
            <v>ODYSSEY JUTE</v>
          </cell>
          <cell r="R984">
            <v>68.777500000000003</v>
          </cell>
          <cell r="S984">
            <v>1116.9000000000001</v>
          </cell>
          <cell r="T984">
            <v>35.4</v>
          </cell>
          <cell r="U984">
            <v>0</v>
          </cell>
          <cell r="BA984">
            <v>1152.3000000000002</v>
          </cell>
          <cell r="BB984">
            <v>500</v>
          </cell>
          <cell r="BF984" t="str">
            <v>Ok</v>
          </cell>
        </row>
        <row r="985">
          <cell r="B985" t="str">
            <v>ODYSSEY SHELL</v>
          </cell>
          <cell r="R985">
            <v>334.39250000000004</v>
          </cell>
          <cell r="S985">
            <v>1436.2</v>
          </cell>
          <cell r="T985">
            <v>57.4</v>
          </cell>
          <cell r="U985">
            <v>0</v>
          </cell>
          <cell r="BA985">
            <v>2311.6000000000004</v>
          </cell>
          <cell r="BB985">
            <v>1150</v>
          </cell>
          <cell r="BF985" t="str">
            <v>Ok</v>
          </cell>
        </row>
        <row r="986">
          <cell r="B986" t="str">
            <v>ODYSSEY SMOKE</v>
          </cell>
          <cell r="R986">
            <v>12.775</v>
          </cell>
          <cell r="S986">
            <v>518.5</v>
          </cell>
          <cell r="T986">
            <v>0</v>
          </cell>
          <cell r="U986">
            <v>0</v>
          </cell>
          <cell r="BA986">
            <v>518.5</v>
          </cell>
          <cell r="BB986">
            <v>0</v>
          </cell>
          <cell r="BF986" t="str">
            <v>Ok</v>
          </cell>
        </row>
        <row r="987">
          <cell r="B987" t="str">
            <v>ODYSSEY STEEL</v>
          </cell>
          <cell r="R987">
            <v>27.607499999999995</v>
          </cell>
          <cell r="S987">
            <v>796.6</v>
          </cell>
          <cell r="T987">
            <v>39.700000000000003</v>
          </cell>
          <cell r="U987">
            <v>0</v>
          </cell>
          <cell r="BA987">
            <v>836.30000000000007</v>
          </cell>
          <cell r="BB987">
            <v>150</v>
          </cell>
          <cell r="BF987" t="str">
            <v>Ok</v>
          </cell>
        </row>
        <row r="988">
          <cell r="B988" t="str">
            <v>OJAI DENIM</v>
          </cell>
          <cell r="R988">
            <v>22.324999999999999</v>
          </cell>
          <cell r="S988">
            <v>598.70000000000005</v>
          </cell>
          <cell r="T988">
            <v>0</v>
          </cell>
          <cell r="U988">
            <v>262.89999999999998</v>
          </cell>
          <cell r="BA988">
            <v>1161.5999999999999</v>
          </cell>
          <cell r="BB988">
            <v>10</v>
          </cell>
          <cell r="BF988" t="str">
            <v>Ok</v>
          </cell>
        </row>
        <row r="989">
          <cell r="B989" t="str">
            <v>OJAI DOVE</v>
          </cell>
          <cell r="R989">
            <v>18.95</v>
          </cell>
          <cell r="S989">
            <v>188.41</v>
          </cell>
          <cell r="T989">
            <v>0</v>
          </cell>
          <cell r="U989">
            <v>590</v>
          </cell>
          <cell r="BA989">
            <v>1085.4099999999999</v>
          </cell>
          <cell r="BB989">
            <v>100</v>
          </cell>
          <cell r="BF989" t="str">
            <v>Ok</v>
          </cell>
        </row>
        <row r="990">
          <cell r="B990" t="str">
            <v>OJAI HERB</v>
          </cell>
          <cell r="R990">
            <v>223.5975</v>
          </cell>
          <cell r="S990">
            <v>0</v>
          </cell>
          <cell r="T990">
            <v>15.9</v>
          </cell>
          <cell r="U990">
            <v>0</v>
          </cell>
          <cell r="BA990">
            <v>1949.9</v>
          </cell>
          <cell r="BB990">
            <v>1450</v>
          </cell>
          <cell r="BF990" t="str">
            <v>Ok</v>
          </cell>
        </row>
        <row r="991">
          <cell r="B991" t="str">
            <v>OJAI LINEN</v>
          </cell>
          <cell r="R991">
            <v>254.86250000000001</v>
          </cell>
          <cell r="S991">
            <v>478.5</v>
          </cell>
          <cell r="T991">
            <v>77.55</v>
          </cell>
          <cell r="U991">
            <v>0</v>
          </cell>
          <cell r="BA991">
            <v>556.04999999999995</v>
          </cell>
          <cell r="BB991">
            <v>300</v>
          </cell>
          <cell r="BF991" t="str">
            <v>Resurtir</v>
          </cell>
        </row>
        <row r="992">
          <cell r="B992" t="str">
            <v>OJAI STONE</v>
          </cell>
          <cell r="R992">
            <v>193.36249999999998</v>
          </cell>
          <cell r="S992">
            <v>0</v>
          </cell>
          <cell r="T992">
            <v>0</v>
          </cell>
          <cell r="U992">
            <v>0</v>
          </cell>
          <cell r="BA992">
            <v>4080</v>
          </cell>
          <cell r="BB992">
            <v>600</v>
          </cell>
          <cell r="BF992" t="str">
            <v>Ok</v>
          </cell>
        </row>
        <row r="993">
          <cell r="B993" t="str">
            <v>OJAI TAUPE</v>
          </cell>
          <cell r="R993">
            <v>176.38499999999999</v>
          </cell>
          <cell r="S993">
            <v>0</v>
          </cell>
          <cell r="T993">
            <v>7.26</v>
          </cell>
          <cell r="U993">
            <v>0</v>
          </cell>
          <cell r="BA993">
            <v>2503.2600000000002</v>
          </cell>
          <cell r="BB993">
            <v>300</v>
          </cell>
          <cell r="BF993" t="str">
            <v>Ok</v>
          </cell>
        </row>
        <row r="994">
          <cell r="B994" t="str">
            <v>OKAZAKI DUSK</v>
          </cell>
          <cell r="R994">
            <v>41.805000000000007</v>
          </cell>
          <cell r="S994">
            <v>65.2</v>
          </cell>
          <cell r="T994">
            <v>9.18</v>
          </cell>
          <cell r="U994">
            <v>0</v>
          </cell>
          <cell r="BA994">
            <v>579.38</v>
          </cell>
          <cell r="BB994">
            <v>160</v>
          </cell>
          <cell r="BF994" t="str">
            <v>Ok</v>
          </cell>
        </row>
        <row r="995">
          <cell r="B995" t="str">
            <v>OKAZAKI RATTAN</v>
          </cell>
          <cell r="R995">
            <v>3.93</v>
          </cell>
          <cell r="S995">
            <v>199.2</v>
          </cell>
          <cell r="T995">
            <v>11</v>
          </cell>
          <cell r="U995">
            <v>0</v>
          </cell>
          <cell r="BA995">
            <v>210.2</v>
          </cell>
          <cell r="BB995">
            <v>50</v>
          </cell>
          <cell r="BF995" t="str">
            <v>Ok</v>
          </cell>
        </row>
        <row r="996">
          <cell r="B996" t="str">
            <v>OKAZAKI ROSEWOOD</v>
          </cell>
          <cell r="R996">
            <v>40.405000000000001</v>
          </cell>
          <cell r="S996">
            <v>41</v>
          </cell>
          <cell r="T996">
            <v>16.8</v>
          </cell>
          <cell r="U996">
            <v>0</v>
          </cell>
          <cell r="BA996">
            <v>562.79999999999995</v>
          </cell>
          <cell r="BB996">
            <v>100</v>
          </cell>
          <cell r="BF996" t="str">
            <v>Ok</v>
          </cell>
        </row>
        <row r="997">
          <cell r="B997" t="str">
            <v>OLIVETO FLAX</v>
          </cell>
          <cell r="R997">
            <v>20</v>
          </cell>
          <cell r="S997">
            <v>129.69999999999999</v>
          </cell>
          <cell r="T997">
            <v>24.8</v>
          </cell>
          <cell r="U997">
            <v>0</v>
          </cell>
          <cell r="BA997">
            <v>154.5</v>
          </cell>
          <cell r="BB997">
            <v>0</v>
          </cell>
          <cell r="BF997" t="str">
            <v>Ok</v>
          </cell>
        </row>
        <row r="998">
          <cell r="B998" t="str">
            <v>OLIVETO SHELL</v>
          </cell>
          <cell r="R998">
            <v>26</v>
          </cell>
          <cell r="S998">
            <v>259.89999999999998</v>
          </cell>
          <cell r="T998">
            <v>19.850000000000001</v>
          </cell>
          <cell r="U998">
            <v>0</v>
          </cell>
          <cell r="BA998">
            <v>279.75</v>
          </cell>
          <cell r="BB998">
            <v>0</v>
          </cell>
          <cell r="BF998" t="str">
            <v>Ok</v>
          </cell>
        </row>
        <row r="999">
          <cell r="B999" t="str">
            <v>OMARI NATURAL</v>
          </cell>
          <cell r="R999">
            <v>0</v>
          </cell>
          <cell r="S999">
            <v>64.2</v>
          </cell>
          <cell r="T999">
            <v>17.7</v>
          </cell>
          <cell r="U999">
            <v>156.5</v>
          </cell>
          <cell r="BA999">
            <v>238.4</v>
          </cell>
          <cell r="BB999">
            <v>0</v>
          </cell>
          <cell r="BF999" t="str">
            <v>Ok</v>
          </cell>
        </row>
        <row r="1000">
          <cell r="B1000" t="str">
            <v>OOLONG NAUTICAL</v>
          </cell>
          <cell r="R1000">
            <v>9.7249999999999996</v>
          </cell>
          <cell r="S1000">
            <v>34.6</v>
          </cell>
          <cell r="T1000">
            <v>22</v>
          </cell>
          <cell r="U1000">
            <v>196.5</v>
          </cell>
          <cell r="BA1000">
            <v>253.1</v>
          </cell>
          <cell r="BB1000">
            <v>150</v>
          </cell>
          <cell r="BF1000" t="str">
            <v>Ok</v>
          </cell>
        </row>
        <row r="1001">
          <cell r="B1001" t="str">
            <v>OPAL AMBER</v>
          </cell>
          <cell r="R1001">
            <v>8.7750000000000004</v>
          </cell>
          <cell r="S1001">
            <v>0</v>
          </cell>
          <cell r="T1001">
            <v>5.85</v>
          </cell>
          <cell r="U1001">
            <v>0</v>
          </cell>
          <cell r="BA1001">
            <v>5.85</v>
          </cell>
          <cell r="BB1001">
            <v>0</v>
          </cell>
          <cell r="BF1001" t="str">
            <v>Resurtir</v>
          </cell>
        </row>
        <row r="1002">
          <cell r="B1002" t="str">
            <v>OPAL BEIGE</v>
          </cell>
          <cell r="R1002">
            <v>6.125</v>
          </cell>
          <cell r="S1002">
            <v>142.30000000000001</v>
          </cell>
          <cell r="T1002">
            <v>7.2</v>
          </cell>
          <cell r="U1002">
            <v>98.5</v>
          </cell>
          <cell r="BA1002">
            <v>248</v>
          </cell>
          <cell r="BB1002">
            <v>0</v>
          </cell>
          <cell r="BF1002" t="str">
            <v>Ok</v>
          </cell>
        </row>
        <row r="1003">
          <cell r="B1003" t="str">
            <v>OPAL CAMEL</v>
          </cell>
          <cell r="R1003">
            <v>7.625</v>
          </cell>
          <cell r="S1003">
            <v>211.5</v>
          </cell>
          <cell r="T1003">
            <v>6.3</v>
          </cell>
          <cell r="U1003">
            <v>0</v>
          </cell>
          <cell r="BA1003">
            <v>217.8</v>
          </cell>
          <cell r="BB1003">
            <v>0</v>
          </cell>
          <cell r="BF1003" t="str">
            <v>Ok</v>
          </cell>
        </row>
        <row r="1004">
          <cell r="B1004" t="str">
            <v>OPAL CORAL</v>
          </cell>
          <cell r="R1004">
            <v>2.7749999999999999</v>
          </cell>
          <cell r="S1004">
            <v>33.9</v>
          </cell>
          <cell r="T1004">
            <v>17.399999999999999</v>
          </cell>
          <cell r="U1004">
            <v>0</v>
          </cell>
          <cell r="BA1004">
            <v>51.3</v>
          </cell>
          <cell r="BB1004">
            <v>0</v>
          </cell>
          <cell r="BF1004" t="str">
            <v>Ok</v>
          </cell>
        </row>
        <row r="1005">
          <cell r="B1005" t="str">
            <v>OPAL CREAM</v>
          </cell>
          <cell r="R1005">
            <v>9.9250000000000007</v>
          </cell>
          <cell r="S1005">
            <v>88.4</v>
          </cell>
          <cell r="T1005">
            <v>10.3</v>
          </cell>
          <cell r="U1005">
            <v>36</v>
          </cell>
          <cell r="BA1005">
            <v>134.69999999999999</v>
          </cell>
          <cell r="BB1005">
            <v>0</v>
          </cell>
          <cell r="BF1005" t="str">
            <v>Ok</v>
          </cell>
        </row>
        <row r="1006">
          <cell r="B1006" t="str">
            <v>OPAL DENIM</v>
          </cell>
          <cell r="R1006">
            <v>4.25</v>
          </cell>
          <cell r="S1006">
            <v>20.399999999999999</v>
          </cell>
          <cell r="T1006">
            <v>11.9</v>
          </cell>
          <cell r="U1006">
            <v>0</v>
          </cell>
          <cell r="BA1006">
            <v>67.3</v>
          </cell>
          <cell r="BB1006">
            <v>0</v>
          </cell>
          <cell r="BF1006" t="str">
            <v>Ok</v>
          </cell>
        </row>
        <row r="1007">
          <cell r="B1007" t="str">
            <v>OPAL FLANNEL</v>
          </cell>
          <cell r="R1007">
            <v>9.3250000000000011</v>
          </cell>
          <cell r="S1007">
            <v>99.6</v>
          </cell>
          <cell r="T1007">
            <v>52.4</v>
          </cell>
          <cell r="U1007">
            <v>0</v>
          </cell>
          <cell r="BA1007">
            <v>152</v>
          </cell>
          <cell r="BB1007">
            <v>0</v>
          </cell>
          <cell r="BF1007" t="str">
            <v>Ok</v>
          </cell>
        </row>
        <row r="1008">
          <cell r="B1008" t="str">
            <v>OPAL FOSSIL</v>
          </cell>
          <cell r="R1008">
            <v>2.1</v>
          </cell>
          <cell r="S1008">
            <v>53.5</v>
          </cell>
          <cell r="T1008">
            <v>18</v>
          </cell>
          <cell r="U1008">
            <v>0</v>
          </cell>
          <cell r="BA1008">
            <v>71.5</v>
          </cell>
          <cell r="BB1008">
            <v>0</v>
          </cell>
          <cell r="BF1008" t="str">
            <v>Ok</v>
          </cell>
        </row>
        <row r="1009">
          <cell r="B1009" t="str">
            <v>OPAL GREY</v>
          </cell>
          <cell r="R1009">
            <v>0.25</v>
          </cell>
          <cell r="S1009">
            <v>46.85</v>
          </cell>
          <cell r="T1009">
            <v>0</v>
          </cell>
          <cell r="U1009">
            <v>0</v>
          </cell>
          <cell r="BA1009">
            <v>46.85</v>
          </cell>
          <cell r="BB1009">
            <v>0</v>
          </cell>
          <cell r="BF1009" t="str">
            <v>Ok</v>
          </cell>
        </row>
        <row r="1010">
          <cell r="B1010" t="str">
            <v>OPAL IVORY</v>
          </cell>
          <cell r="R1010">
            <v>4.625</v>
          </cell>
          <cell r="S1010">
            <v>23.4</v>
          </cell>
          <cell r="T1010">
            <v>17.100000000000001</v>
          </cell>
          <cell r="U1010">
            <v>0</v>
          </cell>
          <cell r="BA1010">
            <v>75.5</v>
          </cell>
          <cell r="BB1010">
            <v>0</v>
          </cell>
          <cell r="BF1010" t="str">
            <v>Ok</v>
          </cell>
        </row>
        <row r="1011">
          <cell r="B1011" t="str">
            <v>OPAL LAGOON</v>
          </cell>
          <cell r="R1011">
            <v>2.9750000000000001</v>
          </cell>
          <cell r="S1011">
            <v>102.3</v>
          </cell>
          <cell r="T1011">
            <v>0</v>
          </cell>
          <cell r="U1011">
            <v>0</v>
          </cell>
          <cell r="BA1011">
            <v>102.3</v>
          </cell>
          <cell r="BB1011">
            <v>0</v>
          </cell>
          <cell r="BF1011" t="str">
            <v>Ok</v>
          </cell>
        </row>
        <row r="1012">
          <cell r="B1012" t="str">
            <v>OPAL OLIVE</v>
          </cell>
          <cell r="R1012">
            <v>8.375</v>
          </cell>
          <cell r="S1012">
            <v>35.1</v>
          </cell>
          <cell r="T1012">
            <v>46.2</v>
          </cell>
          <cell r="U1012">
            <v>0</v>
          </cell>
          <cell r="BA1012">
            <v>81.300000000000011</v>
          </cell>
          <cell r="BB1012">
            <v>0</v>
          </cell>
          <cell r="BF1012" t="str">
            <v>Ok</v>
          </cell>
        </row>
        <row r="1013">
          <cell r="B1013" t="str">
            <v>OPAL PLUM</v>
          </cell>
          <cell r="R1013">
            <v>4.125</v>
          </cell>
          <cell r="S1013">
            <v>20.5</v>
          </cell>
          <cell r="T1013">
            <v>6.85</v>
          </cell>
          <cell r="U1013">
            <v>32.6</v>
          </cell>
          <cell r="BA1013">
            <v>59.95</v>
          </cell>
          <cell r="BB1013">
            <v>0</v>
          </cell>
          <cell r="BF1013" t="str">
            <v>Ok</v>
          </cell>
        </row>
        <row r="1014">
          <cell r="B1014" t="str">
            <v>OPAL SILVER</v>
          </cell>
          <cell r="R1014">
            <v>0</v>
          </cell>
          <cell r="S1014">
            <v>33.200000000000003</v>
          </cell>
          <cell r="T1014">
            <v>6.15</v>
          </cell>
          <cell r="U1014">
            <v>39.799999999999997</v>
          </cell>
          <cell r="BA1014">
            <v>79.150000000000006</v>
          </cell>
          <cell r="BB1014">
            <v>0</v>
          </cell>
          <cell r="BF1014" t="str">
            <v>Ok</v>
          </cell>
        </row>
        <row r="1015">
          <cell r="B1015" t="str">
            <v>OPAL SMOKE</v>
          </cell>
          <cell r="R1015">
            <v>3.5</v>
          </cell>
          <cell r="S1015">
            <v>87.9</v>
          </cell>
          <cell r="T1015">
            <v>0</v>
          </cell>
          <cell r="U1015">
            <v>0</v>
          </cell>
          <cell r="BA1015">
            <v>87.9</v>
          </cell>
          <cell r="BB1015">
            <v>0</v>
          </cell>
          <cell r="BF1015" t="str">
            <v>Ok</v>
          </cell>
        </row>
        <row r="1016">
          <cell r="B1016" t="str">
            <v>OPAL SNOW</v>
          </cell>
          <cell r="R1016">
            <v>5.75</v>
          </cell>
          <cell r="S1016">
            <v>54.7</v>
          </cell>
          <cell r="T1016">
            <v>40.5</v>
          </cell>
          <cell r="U1016">
            <v>0</v>
          </cell>
          <cell r="BA1016">
            <v>95.2</v>
          </cell>
          <cell r="BB1016">
            <v>0</v>
          </cell>
          <cell r="BF1016" t="str">
            <v>Ok</v>
          </cell>
        </row>
        <row r="1017">
          <cell r="B1017" t="str">
            <v>OPAL STEEL</v>
          </cell>
          <cell r="R1017">
            <v>0.25</v>
          </cell>
          <cell r="S1017">
            <v>31.1</v>
          </cell>
          <cell r="T1017">
            <v>10</v>
          </cell>
          <cell r="U1017">
            <v>35.4</v>
          </cell>
          <cell r="BA1017">
            <v>76.5</v>
          </cell>
          <cell r="BB1017">
            <v>0</v>
          </cell>
          <cell r="BF1017" t="str">
            <v>Ok</v>
          </cell>
        </row>
        <row r="1018">
          <cell r="B1018" t="str">
            <v>OPULENCE BURNT CAMEL</v>
          </cell>
          <cell r="R1018">
            <v>0.25</v>
          </cell>
          <cell r="S1018">
            <v>1661.2</v>
          </cell>
          <cell r="T1018">
            <v>7.8</v>
          </cell>
          <cell r="U1018">
            <v>0</v>
          </cell>
          <cell r="BA1018">
            <v>1669</v>
          </cell>
          <cell r="BB1018">
            <v>0</v>
          </cell>
          <cell r="BF1018" t="str">
            <v>Ok</v>
          </cell>
        </row>
        <row r="1019">
          <cell r="B1019" t="str">
            <v>OPULENCE CAMEL</v>
          </cell>
          <cell r="R1019">
            <v>25.625</v>
          </cell>
          <cell r="S1019">
            <v>354.6</v>
          </cell>
          <cell r="T1019">
            <v>6.4</v>
          </cell>
          <cell r="U1019">
            <v>1827.7</v>
          </cell>
          <cell r="BA1019">
            <v>2188.6999999999998</v>
          </cell>
          <cell r="BB1019">
            <v>90</v>
          </cell>
          <cell r="BF1019" t="str">
            <v>Ok</v>
          </cell>
        </row>
        <row r="1020">
          <cell r="B1020" t="str">
            <v>OPULENCE CURRY</v>
          </cell>
          <cell r="R1020">
            <v>21.25</v>
          </cell>
          <cell r="S1020">
            <v>802.9</v>
          </cell>
          <cell r="T1020">
            <v>34.299999999999997</v>
          </cell>
          <cell r="U1020">
            <v>0</v>
          </cell>
          <cell r="BA1020">
            <v>837.19999999999993</v>
          </cell>
          <cell r="BB1020">
            <v>150</v>
          </cell>
          <cell r="BF1020" t="str">
            <v>Ok</v>
          </cell>
        </row>
        <row r="1021">
          <cell r="B1021" t="str">
            <v>OPULENCE EBONY</v>
          </cell>
          <cell r="R1021">
            <v>15.375</v>
          </cell>
          <cell r="S1021">
            <v>0</v>
          </cell>
          <cell r="T1021">
            <v>0</v>
          </cell>
          <cell r="U1021">
            <v>0</v>
          </cell>
          <cell r="BA1021">
            <v>948</v>
          </cell>
          <cell r="BB1021">
            <v>150</v>
          </cell>
          <cell r="BF1021" t="str">
            <v>Ok</v>
          </cell>
        </row>
        <row r="1022">
          <cell r="B1022" t="str">
            <v>OPULENCE SNOW</v>
          </cell>
          <cell r="R1022">
            <v>226.4375</v>
          </cell>
          <cell r="S1022">
            <v>1051</v>
          </cell>
          <cell r="T1022">
            <v>19.350000000000001</v>
          </cell>
          <cell r="U1022">
            <v>0</v>
          </cell>
          <cell r="BA1022">
            <v>1070.3499999999999</v>
          </cell>
          <cell r="BB1022">
            <v>1050</v>
          </cell>
          <cell r="BF1022" t="str">
            <v>Ok</v>
          </cell>
        </row>
        <row r="1023">
          <cell r="B1023" t="str">
            <v>OPULENCE WHEAT</v>
          </cell>
          <cell r="R1023">
            <v>159.85</v>
          </cell>
          <cell r="S1023">
            <v>874.9</v>
          </cell>
          <cell r="T1023">
            <v>17.8</v>
          </cell>
          <cell r="U1023">
            <v>0</v>
          </cell>
          <cell r="BA1023">
            <v>892.69999999999993</v>
          </cell>
          <cell r="BB1023">
            <v>270</v>
          </cell>
          <cell r="BF1023" t="str">
            <v>Ok</v>
          </cell>
        </row>
        <row r="1024">
          <cell r="B1024" t="str">
            <v>ORION NAUTICAL</v>
          </cell>
          <cell r="R1024">
            <v>8.75</v>
          </cell>
          <cell r="S1024">
            <v>0</v>
          </cell>
          <cell r="T1024">
            <v>12.2</v>
          </cell>
          <cell r="U1024">
            <v>0</v>
          </cell>
          <cell r="BA1024">
            <v>109.2</v>
          </cell>
          <cell r="BB1024">
            <v>0</v>
          </cell>
          <cell r="BF1024" t="str">
            <v>Ok</v>
          </cell>
        </row>
        <row r="1025">
          <cell r="B1025" t="str">
            <v>ORSO CREAM</v>
          </cell>
          <cell r="R1025">
            <v>2.5</v>
          </cell>
          <cell r="S1025">
            <v>0</v>
          </cell>
          <cell r="T1025">
            <v>18.7</v>
          </cell>
          <cell r="U1025">
            <v>95.5</v>
          </cell>
          <cell r="BA1025">
            <v>114.2</v>
          </cell>
          <cell r="BB1025">
            <v>0</v>
          </cell>
          <cell r="BF1025" t="str">
            <v>Ok</v>
          </cell>
        </row>
        <row r="1026">
          <cell r="B1026" t="str">
            <v>ORSO ECRU</v>
          </cell>
          <cell r="R1026">
            <v>0</v>
          </cell>
          <cell r="S1026">
            <v>38.4</v>
          </cell>
          <cell r="T1026">
            <v>41.8</v>
          </cell>
          <cell r="U1026">
            <v>0</v>
          </cell>
          <cell r="BA1026">
            <v>80.199999999999989</v>
          </cell>
          <cell r="BB1026">
            <v>0</v>
          </cell>
          <cell r="BF1026" t="str">
            <v>Ok</v>
          </cell>
        </row>
        <row r="1027">
          <cell r="B1027" t="str">
            <v>OSMAN DOMINO</v>
          </cell>
          <cell r="R1027">
            <v>0.57499999999999996</v>
          </cell>
          <cell r="S1027">
            <v>87</v>
          </cell>
          <cell r="T1027">
            <v>6.1</v>
          </cell>
          <cell r="U1027">
            <v>97.9</v>
          </cell>
          <cell r="BA1027">
            <v>191</v>
          </cell>
          <cell r="BB1027">
            <v>10</v>
          </cell>
          <cell r="BF1027" t="str">
            <v>Ok</v>
          </cell>
        </row>
        <row r="1028">
          <cell r="B1028" t="str">
            <v>OUTRIGGER CREAM</v>
          </cell>
          <cell r="R1028">
            <v>508.33749999999998</v>
          </cell>
          <cell r="S1028">
            <v>526.1</v>
          </cell>
          <cell r="T1028">
            <v>96.14</v>
          </cell>
          <cell r="U1028">
            <v>0</v>
          </cell>
          <cell r="BA1028">
            <v>1673.24</v>
          </cell>
          <cell r="BB1028">
            <v>1400</v>
          </cell>
          <cell r="BF1028" t="str">
            <v>Resurtir</v>
          </cell>
        </row>
        <row r="1029">
          <cell r="B1029" t="str">
            <v>OUTRIGGER ECRU</v>
          </cell>
          <cell r="R1029">
            <v>256.8075</v>
          </cell>
          <cell r="S1029">
            <v>866.55</v>
          </cell>
          <cell r="T1029">
            <v>72.27</v>
          </cell>
          <cell r="U1029">
            <v>1322.02</v>
          </cell>
          <cell r="BA1029">
            <v>2260.84</v>
          </cell>
          <cell r="BB1029">
            <v>250</v>
          </cell>
          <cell r="BF1029" t="str">
            <v>Ok</v>
          </cell>
        </row>
        <row r="1030">
          <cell r="B1030" t="str">
            <v>OUTRIGGER PACIFIC</v>
          </cell>
          <cell r="R1030">
            <v>25.25</v>
          </cell>
          <cell r="S1030">
            <v>0</v>
          </cell>
          <cell r="T1030">
            <v>18.66</v>
          </cell>
          <cell r="U1030">
            <v>0</v>
          </cell>
          <cell r="BA1030">
            <v>168.66</v>
          </cell>
          <cell r="BB1030">
            <v>0</v>
          </cell>
          <cell r="BF1030" t="str">
            <v>Ok</v>
          </cell>
        </row>
        <row r="1031">
          <cell r="B1031" t="str">
            <v>OUTRIGGER WHITE</v>
          </cell>
          <cell r="R1031">
            <v>247.29000000000002</v>
          </cell>
          <cell r="S1031">
            <v>74.69</v>
          </cell>
          <cell r="T1031">
            <v>54.94</v>
          </cell>
          <cell r="U1031">
            <v>0</v>
          </cell>
          <cell r="BA1031">
            <v>1182.6300000000001</v>
          </cell>
          <cell r="BB1031">
            <v>250</v>
          </cell>
          <cell r="BF1031" t="str">
            <v>Ok</v>
          </cell>
        </row>
        <row r="1032">
          <cell r="B1032" t="str">
            <v>OXFORD AMBER</v>
          </cell>
          <cell r="R1032">
            <v>13.75</v>
          </cell>
          <cell r="S1032">
            <v>231.1</v>
          </cell>
          <cell r="T1032">
            <v>11.95</v>
          </cell>
          <cell r="U1032">
            <v>0</v>
          </cell>
          <cell r="BA1032">
            <v>243.04999999999998</v>
          </cell>
          <cell r="BB1032">
            <v>0</v>
          </cell>
          <cell r="BF1032" t="str">
            <v>Ok</v>
          </cell>
        </row>
        <row r="1033">
          <cell r="B1033" t="str">
            <v>OXFORD BABY PINK</v>
          </cell>
          <cell r="R1033">
            <v>48.024999999999999</v>
          </cell>
          <cell r="S1033">
            <v>569.4</v>
          </cell>
          <cell r="T1033">
            <v>0</v>
          </cell>
          <cell r="U1033">
            <v>0</v>
          </cell>
          <cell r="BA1033">
            <v>569.4</v>
          </cell>
          <cell r="BB1033">
            <v>0</v>
          </cell>
          <cell r="BF1033" t="str">
            <v>Ok</v>
          </cell>
        </row>
        <row r="1034">
          <cell r="B1034" t="str">
            <v>OXFORD BEIGE</v>
          </cell>
          <cell r="R1034">
            <v>58.125</v>
          </cell>
          <cell r="S1034">
            <v>161.9</v>
          </cell>
          <cell r="T1034">
            <v>51.8</v>
          </cell>
          <cell r="U1034">
            <v>0</v>
          </cell>
          <cell r="BA1034">
            <v>1095.7</v>
          </cell>
          <cell r="BB1034">
            <v>150</v>
          </cell>
          <cell r="BF1034" t="str">
            <v>Ok</v>
          </cell>
        </row>
        <row r="1035">
          <cell r="B1035" t="str">
            <v>OXFORD BLACK</v>
          </cell>
          <cell r="R1035">
            <v>11</v>
          </cell>
          <cell r="S1035">
            <v>609.79999999999995</v>
          </cell>
          <cell r="T1035">
            <v>34.6</v>
          </cell>
          <cell r="U1035">
            <v>0</v>
          </cell>
          <cell r="BA1035">
            <v>644.4</v>
          </cell>
          <cell r="BB1035">
            <v>0</v>
          </cell>
          <cell r="BF1035" t="str">
            <v>Ok</v>
          </cell>
        </row>
        <row r="1036">
          <cell r="B1036" t="str">
            <v>OXFORD CAMEL</v>
          </cell>
          <cell r="R1036">
            <v>53.95</v>
          </cell>
          <cell r="S1036">
            <v>761.4</v>
          </cell>
          <cell r="T1036">
            <v>8.65</v>
          </cell>
          <cell r="U1036">
            <v>0</v>
          </cell>
          <cell r="BA1036">
            <v>770.05</v>
          </cell>
          <cell r="BB1036">
            <v>500</v>
          </cell>
          <cell r="BF1036" t="str">
            <v>Ok</v>
          </cell>
        </row>
        <row r="1037">
          <cell r="B1037" t="str">
            <v>OXFORD CREAM</v>
          </cell>
          <cell r="R1037">
            <v>34.900000000000006</v>
          </cell>
          <cell r="S1037">
            <v>31.2</v>
          </cell>
          <cell r="T1037">
            <v>6.1</v>
          </cell>
          <cell r="U1037">
            <v>0</v>
          </cell>
          <cell r="BA1037">
            <v>37.299999999999997</v>
          </cell>
          <cell r="BB1037">
            <v>50</v>
          </cell>
          <cell r="BF1037" t="str">
            <v>Resurtir</v>
          </cell>
        </row>
        <row r="1038">
          <cell r="B1038" t="str">
            <v>OXFORD ECLIPSE</v>
          </cell>
          <cell r="R1038">
            <v>3.625</v>
          </cell>
          <cell r="S1038">
            <v>81.7</v>
          </cell>
          <cell r="T1038">
            <v>29.9</v>
          </cell>
          <cell r="U1038">
            <v>0</v>
          </cell>
          <cell r="BA1038">
            <v>111.6</v>
          </cell>
          <cell r="BB1038">
            <v>100</v>
          </cell>
          <cell r="BF1038" t="str">
            <v>Ok</v>
          </cell>
        </row>
        <row r="1039">
          <cell r="B1039" t="str">
            <v>OXFORD FAWN</v>
          </cell>
          <cell r="R1039">
            <v>20.3</v>
          </cell>
          <cell r="S1039">
            <v>415.9</v>
          </cell>
          <cell r="T1039">
            <v>18.7</v>
          </cell>
          <cell r="U1039">
            <v>0</v>
          </cell>
          <cell r="BA1039">
            <v>434.59999999999997</v>
          </cell>
          <cell r="BB1039">
            <v>100</v>
          </cell>
          <cell r="BF1039" t="str">
            <v>Ok</v>
          </cell>
        </row>
        <row r="1040">
          <cell r="B1040" t="str">
            <v>OXFORD FUDGE</v>
          </cell>
          <cell r="R1040">
            <v>10.375</v>
          </cell>
          <cell r="S1040">
            <v>64.099999999999994</v>
          </cell>
          <cell r="T1040">
            <v>31</v>
          </cell>
          <cell r="U1040">
            <v>0</v>
          </cell>
          <cell r="BA1040">
            <v>95.1</v>
          </cell>
          <cell r="BB1040">
            <v>0</v>
          </cell>
          <cell r="BF1040" t="str">
            <v>Ok</v>
          </cell>
        </row>
        <row r="1041">
          <cell r="B1041" t="str">
            <v>OXFORD GRASS</v>
          </cell>
          <cell r="R1041">
            <v>121.075</v>
          </cell>
          <cell r="S1041">
            <v>286.89999999999998</v>
          </cell>
          <cell r="T1041">
            <v>39.799999999999997</v>
          </cell>
          <cell r="U1041">
            <v>0</v>
          </cell>
          <cell r="BA1041">
            <v>410.7</v>
          </cell>
          <cell r="BB1041">
            <v>350</v>
          </cell>
          <cell r="BF1041" t="str">
            <v>Resurtir</v>
          </cell>
        </row>
        <row r="1042">
          <cell r="B1042" t="str">
            <v>OXFORD MARINE</v>
          </cell>
          <cell r="R1042">
            <v>22.55</v>
          </cell>
          <cell r="S1042">
            <v>31.2</v>
          </cell>
          <cell r="T1042">
            <v>27.4</v>
          </cell>
          <cell r="U1042">
            <v>44</v>
          </cell>
          <cell r="BA1042">
            <v>102.6</v>
          </cell>
          <cell r="BB1042">
            <v>0</v>
          </cell>
          <cell r="BF1042" t="str">
            <v>Ok</v>
          </cell>
        </row>
        <row r="1043">
          <cell r="B1043" t="str">
            <v>OXFORD MIST</v>
          </cell>
          <cell r="R1043">
            <v>28.574999999999999</v>
          </cell>
          <cell r="S1043">
            <v>248.9</v>
          </cell>
          <cell r="T1043">
            <v>7.65</v>
          </cell>
          <cell r="U1043">
            <v>0</v>
          </cell>
          <cell r="BA1043">
            <v>256.55</v>
          </cell>
          <cell r="BB1043">
            <v>0</v>
          </cell>
          <cell r="BF1043" t="str">
            <v>Ok</v>
          </cell>
        </row>
        <row r="1044">
          <cell r="B1044" t="str">
            <v>OXFORD MOCHA</v>
          </cell>
          <cell r="R1044">
            <v>30.85</v>
          </cell>
          <cell r="S1044">
            <v>0</v>
          </cell>
          <cell r="T1044">
            <v>44.75</v>
          </cell>
          <cell r="U1044">
            <v>26.9</v>
          </cell>
          <cell r="BA1044">
            <v>101.65</v>
          </cell>
          <cell r="BB1044">
            <v>100</v>
          </cell>
          <cell r="BF1044" t="str">
            <v>Resurtir</v>
          </cell>
        </row>
        <row r="1045">
          <cell r="B1045" t="str">
            <v>OXFORD PEWTER</v>
          </cell>
          <cell r="R1045">
            <v>22.125</v>
          </cell>
          <cell r="S1045">
            <v>45.3</v>
          </cell>
          <cell r="T1045">
            <v>30.9</v>
          </cell>
          <cell r="U1045">
            <v>670</v>
          </cell>
          <cell r="BA1045">
            <v>746.2</v>
          </cell>
          <cell r="BB1045">
            <v>300</v>
          </cell>
          <cell r="BF1045" t="str">
            <v>Ok</v>
          </cell>
        </row>
        <row r="1046">
          <cell r="B1046" t="str">
            <v>OXFORD RED WINE</v>
          </cell>
          <cell r="R1046">
            <v>0.75</v>
          </cell>
          <cell r="S1046">
            <v>697.4</v>
          </cell>
          <cell r="T1046">
            <v>111</v>
          </cell>
          <cell r="U1046">
            <v>0</v>
          </cell>
          <cell r="BA1046">
            <v>808.4</v>
          </cell>
          <cell r="BB1046">
            <v>0</v>
          </cell>
          <cell r="BF1046" t="str">
            <v>Ok</v>
          </cell>
        </row>
        <row r="1047">
          <cell r="B1047" t="str">
            <v>OXFORD SNOW</v>
          </cell>
          <cell r="R1047">
            <v>66.575000000000003</v>
          </cell>
          <cell r="S1047">
            <v>267.7</v>
          </cell>
          <cell r="T1047">
            <v>13.3</v>
          </cell>
          <cell r="U1047">
            <v>0</v>
          </cell>
          <cell r="BA1047">
            <v>321</v>
          </cell>
          <cell r="BB1047">
            <v>250</v>
          </cell>
          <cell r="BF1047" t="str">
            <v>Ok</v>
          </cell>
        </row>
        <row r="1048">
          <cell r="B1048" t="str">
            <v>OXFORD STERLING</v>
          </cell>
          <cell r="R1048">
            <v>12.375</v>
          </cell>
          <cell r="S1048">
            <v>535.79999999999995</v>
          </cell>
          <cell r="T1048">
            <v>20</v>
          </cell>
          <cell r="U1048">
            <v>0</v>
          </cell>
          <cell r="BA1048">
            <v>555.79999999999995</v>
          </cell>
          <cell r="BB1048">
            <v>200</v>
          </cell>
          <cell r="BF1048" t="str">
            <v>Ok</v>
          </cell>
        </row>
        <row r="1049">
          <cell r="B1049" t="str">
            <v>OXFORD TITANIUM</v>
          </cell>
          <cell r="R1049">
            <v>7.125</v>
          </cell>
          <cell r="S1049">
            <v>631.29999999999995</v>
          </cell>
          <cell r="T1049">
            <v>0</v>
          </cell>
          <cell r="U1049">
            <v>0</v>
          </cell>
          <cell r="BA1049">
            <v>631.29999999999995</v>
          </cell>
          <cell r="BB1049">
            <v>0</v>
          </cell>
          <cell r="BF1049" t="str">
            <v>Ok</v>
          </cell>
        </row>
        <row r="1050">
          <cell r="B1050" t="str">
            <v>OXFORD YELLOW</v>
          </cell>
          <cell r="R1050">
            <v>12.6</v>
          </cell>
          <cell r="S1050">
            <v>220</v>
          </cell>
          <cell r="T1050">
            <v>0</v>
          </cell>
          <cell r="U1050">
            <v>0</v>
          </cell>
          <cell r="BA1050">
            <v>220</v>
          </cell>
          <cell r="BB1050">
            <v>100</v>
          </cell>
          <cell r="BF1050" t="str">
            <v>Ok</v>
          </cell>
        </row>
        <row r="1051">
          <cell r="B1051" t="str">
            <v>PACINO BURLAP</v>
          </cell>
          <cell r="R1051">
            <v>29.012499999999999</v>
          </cell>
          <cell r="S1051">
            <v>258.5</v>
          </cell>
          <cell r="T1051">
            <v>6</v>
          </cell>
          <cell r="U1051">
            <v>0</v>
          </cell>
          <cell r="BA1051">
            <v>264.5</v>
          </cell>
          <cell r="BB1051">
            <v>0</v>
          </cell>
          <cell r="BF1051" t="str">
            <v>Ok</v>
          </cell>
        </row>
        <row r="1052">
          <cell r="B1052" t="str">
            <v>PACINO CHALK</v>
          </cell>
          <cell r="R1052">
            <v>1.75</v>
          </cell>
          <cell r="S1052">
            <v>713.8</v>
          </cell>
          <cell r="T1052">
            <v>0</v>
          </cell>
          <cell r="U1052">
            <v>0</v>
          </cell>
          <cell r="BA1052">
            <v>713.8</v>
          </cell>
          <cell r="BB1052">
            <v>0</v>
          </cell>
          <cell r="BF1052" t="str">
            <v>Ok</v>
          </cell>
        </row>
        <row r="1053">
          <cell r="B1053" t="str">
            <v>PACINO INK</v>
          </cell>
          <cell r="R1053">
            <v>2.25</v>
          </cell>
          <cell r="S1053">
            <v>191.9</v>
          </cell>
          <cell r="T1053">
            <v>12.4</v>
          </cell>
          <cell r="U1053">
            <v>0</v>
          </cell>
          <cell r="BA1053">
            <v>204.3</v>
          </cell>
          <cell r="BB1053">
            <v>0</v>
          </cell>
          <cell r="BF1053" t="str">
            <v>Ok</v>
          </cell>
        </row>
        <row r="1054">
          <cell r="B1054" t="str">
            <v>PACINO NATURE</v>
          </cell>
          <cell r="R1054">
            <v>0</v>
          </cell>
          <cell r="S1054">
            <v>394.1</v>
          </cell>
          <cell r="T1054">
            <v>0</v>
          </cell>
          <cell r="U1054">
            <v>0</v>
          </cell>
          <cell r="BA1054">
            <v>394.1</v>
          </cell>
          <cell r="BB1054">
            <v>0</v>
          </cell>
          <cell r="BF1054" t="str">
            <v>Ok</v>
          </cell>
        </row>
        <row r="1055">
          <cell r="B1055" t="str">
            <v>PACINO TAUPE</v>
          </cell>
          <cell r="R1055">
            <v>17.55</v>
          </cell>
          <cell r="S1055">
            <v>175.5</v>
          </cell>
          <cell r="T1055">
            <v>17.600000000000001</v>
          </cell>
          <cell r="U1055">
            <v>0</v>
          </cell>
          <cell r="BA1055">
            <v>193.1</v>
          </cell>
          <cell r="BB1055">
            <v>0</v>
          </cell>
          <cell r="BF1055" t="str">
            <v>Ok</v>
          </cell>
        </row>
        <row r="1056">
          <cell r="B1056" t="str">
            <v>PACINO WINTER</v>
          </cell>
          <cell r="R1056">
            <v>33.362500000000004</v>
          </cell>
          <cell r="S1056">
            <v>50.3</v>
          </cell>
          <cell r="T1056">
            <v>74.67</v>
          </cell>
          <cell r="U1056">
            <v>52</v>
          </cell>
          <cell r="BA1056">
            <v>176.97</v>
          </cell>
          <cell r="BB1056">
            <v>0</v>
          </cell>
          <cell r="BF1056" t="str">
            <v>Ok</v>
          </cell>
        </row>
        <row r="1057">
          <cell r="B1057" t="str">
            <v>PALERMO CREAM</v>
          </cell>
          <cell r="R1057">
            <v>4.5</v>
          </cell>
          <cell r="S1057">
            <v>31.3</v>
          </cell>
          <cell r="T1057">
            <v>13.35</v>
          </cell>
          <cell r="U1057">
            <v>0</v>
          </cell>
          <cell r="BA1057">
            <v>44.65</v>
          </cell>
          <cell r="BB1057">
            <v>0</v>
          </cell>
          <cell r="BF1057" t="str">
            <v>Ok</v>
          </cell>
        </row>
        <row r="1058">
          <cell r="B1058" t="str">
            <v>PAMLICO SAND</v>
          </cell>
          <cell r="R1058">
            <v>70.37</v>
          </cell>
          <cell r="S1058">
            <v>50.75</v>
          </cell>
          <cell r="T1058">
            <v>10.1</v>
          </cell>
          <cell r="U1058">
            <v>0</v>
          </cell>
          <cell r="BA1058">
            <v>60.85</v>
          </cell>
          <cell r="BB1058">
            <v>0</v>
          </cell>
          <cell r="BF1058" t="str">
            <v>Resurtir</v>
          </cell>
        </row>
        <row r="1059">
          <cell r="B1059" t="str">
            <v>PAOLO IRON</v>
          </cell>
          <cell r="R1059">
            <v>0</v>
          </cell>
          <cell r="S1059">
            <v>78.3</v>
          </cell>
          <cell r="T1059">
            <v>10.5</v>
          </cell>
          <cell r="U1059">
            <v>0</v>
          </cell>
          <cell r="BA1059">
            <v>88.8</v>
          </cell>
          <cell r="BB1059">
            <v>0</v>
          </cell>
          <cell r="BF1059" t="str">
            <v>Ok</v>
          </cell>
        </row>
        <row r="1060">
          <cell r="B1060" t="str">
            <v>PEBBLE CHALK</v>
          </cell>
          <cell r="R1060">
            <v>0</v>
          </cell>
          <cell r="S1060">
            <v>0</v>
          </cell>
          <cell r="T1060">
            <v>24</v>
          </cell>
          <cell r="U1060">
            <v>287.3</v>
          </cell>
          <cell r="BA1060">
            <v>311.3</v>
          </cell>
          <cell r="BB1060">
            <v>0</v>
          </cell>
          <cell r="BF1060" t="str">
            <v>Ok</v>
          </cell>
        </row>
        <row r="1061">
          <cell r="B1061" t="str">
            <v>PEBBLE DOVE</v>
          </cell>
          <cell r="R1061">
            <v>0</v>
          </cell>
          <cell r="S1061">
            <v>50</v>
          </cell>
          <cell r="T1061">
            <v>5.2</v>
          </cell>
          <cell r="U1061">
            <v>0</v>
          </cell>
          <cell r="BA1061">
            <v>55.2</v>
          </cell>
          <cell r="BB1061">
            <v>0</v>
          </cell>
          <cell r="BF1061" t="str">
            <v>Ok</v>
          </cell>
        </row>
        <row r="1062">
          <cell r="B1062" t="str">
            <v>PEBBLE PLATINUM</v>
          </cell>
          <cell r="R1062">
            <v>0.5</v>
          </cell>
          <cell r="S1062">
            <v>598.5</v>
          </cell>
          <cell r="T1062">
            <v>43.4</v>
          </cell>
          <cell r="U1062">
            <v>0</v>
          </cell>
          <cell r="BA1062">
            <v>641.9</v>
          </cell>
          <cell r="BB1062">
            <v>0</v>
          </cell>
          <cell r="BF1062" t="str">
            <v>Ok</v>
          </cell>
        </row>
        <row r="1063">
          <cell r="B1063" t="str">
            <v>PENCIL CEMENT</v>
          </cell>
          <cell r="R1063">
            <v>17.2</v>
          </cell>
          <cell r="S1063">
            <v>157.22</v>
          </cell>
          <cell r="T1063">
            <v>7.1</v>
          </cell>
          <cell r="U1063">
            <v>0</v>
          </cell>
          <cell r="BA1063">
            <v>164.32</v>
          </cell>
          <cell r="BB1063">
            <v>0</v>
          </cell>
          <cell r="BF1063" t="str">
            <v>Ok</v>
          </cell>
        </row>
        <row r="1064">
          <cell r="B1064" t="str">
            <v>PENCIL NAVY</v>
          </cell>
          <cell r="R1064">
            <v>8.0250000000000004</v>
          </cell>
          <cell r="S1064">
            <v>901.49</v>
          </cell>
          <cell r="T1064">
            <v>0</v>
          </cell>
          <cell r="U1064">
            <v>0</v>
          </cell>
          <cell r="BA1064">
            <v>901.49</v>
          </cell>
          <cell r="BB1064">
            <v>0</v>
          </cell>
          <cell r="BF1064" t="str">
            <v>Ok</v>
          </cell>
        </row>
        <row r="1065">
          <cell r="B1065" t="str">
            <v>PENCIL PEWTER</v>
          </cell>
          <cell r="R1065">
            <v>11.5</v>
          </cell>
          <cell r="S1065">
            <v>48.55</v>
          </cell>
          <cell r="T1065">
            <v>31.19</v>
          </cell>
          <cell r="U1065">
            <v>0</v>
          </cell>
          <cell r="BA1065">
            <v>173.74</v>
          </cell>
          <cell r="BB1065">
            <v>150</v>
          </cell>
          <cell r="BF1065" t="str">
            <v>Ok</v>
          </cell>
        </row>
        <row r="1066">
          <cell r="B1066" t="str">
            <v>PENCIL POPPY</v>
          </cell>
          <cell r="R1066">
            <v>10.125</v>
          </cell>
          <cell r="S1066">
            <v>0</v>
          </cell>
          <cell r="T1066">
            <v>16.28</v>
          </cell>
          <cell r="U1066">
            <v>0</v>
          </cell>
          <cell r="BA1066">
            <v>116.28</v>
          </cell>
          <cell r="BB1066">
            <v>150</v>
          </cell>
          <cell r="BF1066" t="str">
            <v>Resurtir</v>
          </cell>
        </row>
        <row r="1067">
          <cell r="B1067" t="str">
            <v>PEYTON (ECL) CHOCOLATE</v>
          </cell>
          <cell r="R1067">
            <v>5.5</v>
          </cell>
          <cell r="S1067">
            <v>0</v>
          </cell>
          <cell r="T1067">
            <v>28.8</v>
          </cell>
          <cell r="U1067">
            <v>0</v>
          </cell>
          <cell r="BA1067">
            <v>28.8</v>
          </cell>
          <cell r="BB1067">
            <v>0</v>
          </cell>
          <cell r="BF1067" t="str">
            <v>Ok</v>
          </cell>
        </row>
        <row r="1068">
          <cell r="B1068" t="str">
            <v>PEYTON (ECL) FAWN</v>
          </cell>
          <cell r="R1068">
            <v>24.875</v>
          </cell>
          <cell r="S1068">
            <v>0</v>
          </cell>
          <cell r="T1068">
            <v>13.8</v>
          </cell>
          <cell r="U1068">
            <v>0</v>
          </cell>
          <cell r="BA1068">
            <v>101.8</v>
          </cell>
          <cell r="BB1068">
            <v>0</v>
          </cell>
          <cell r="BF1068" t="str">
            <v>Resurtir</v>
          </cell>
        </row>
        <row r="1069">
          <cell r="B1069" t="str">
            <v>PEYTON (ECL) MIMOSA</v>
          </cell>
          <cell r="R1069">
            <v>1</v>
          </cell>
          <cell r="S1069">
            <v>72.099999999999994</v>
          </cell>
          <cell r="T1069">
            <v>0</v>
          </cell>
          <cell r="U1069">
            <v>0</v>
          </cell>
          <cell r="BA1069">
            <v>72.099999999999994</v>
          </cell>
          <cell r="BB1069">
            <v>0</v>
          </cell>
          <cell r="BF1069" t="str">
            <v>Ok</v>
          </cell>
        </row>
        <row r="1070">
          <cell r="B1070" t="str">
            <v>PEYTON (ECL) PEARL</v>
          </cell>
          <cell r="R1070">
            <v>0.875</v>
          </cell>
          <cell r="S1070">
            <v>192.8</v>
          </cell>
          <cell r="T1070">
            <v>17.399999999999999</v>
          </cell>
          <cell r="U1070">
            <v>0</v>
          </cell>
          <cell r="BA1070">
            <v>210.20000000000002</v>
          </cell>
          <cell r="BB1070">
            <v>0</v>
          </cell>
          <cell r="BF1070" t="str">
            <v>Ok</v>
          </cell>
        </row>
        <row r="1071">
          <cell r="B1071" t="str">
            <v>PEYTON (ECL) PEPPER</v>
          </cell>
          <cell r="R1071">
            <v>0</v>
          </cell>
          <cell r="S1071">
            <v>112.9</v>
          </cell>
          <cell r="T1071">
            <v>11.3</v>
          </cell>
          <cell r="U1071">
            <v>0</v>
          </cell>
          <cell r="BA1071">
            <v>124.2</v>
          </cell>
          <cell r="BB1071">
            <v>0</v>
          </cell>
          <cell r="BF1071" t="str">
            <v>Ok</v>
          </cell>
        </row>
        <row r="1072">
          <cell r="B1072" t="str">
            <v>PEYTON (ECL) ROSE</v>
          </cell>
          <cell r="R1072">
            <v>3.8</v>
          </cell>
          <cell r="S1072">
            <v>125.2</v>
          </cell>
          <cell r="T1072">
            <v>18.8</v>
          </cell>
          <cell r="U1072">
            <v>0</v>
          </cell>
          <cell r="BA1072">
            <v>144</v>
          </cell>
          <cell r="BB1072">
            <v>0</v>
          </cell>
          <cell r="BF1072" t="str">
            <v>Ok</v>
          </cell>
        </row>
        <row r="1073">
          <cell r="B1073" t="str">
            <v>PEYTON (ECL) SLATE</v>
          </cell>
          <cell r="R1073">
            <v>0</v>
          </cell>
          <cell r="S1073">
            <v>0</v>
          </cell>
          <cell r="T1073">
            <v>9.8000000000000007</v>
          </cell>
          <cell r="U1073">
            <v>105.4</v>
          </cell>
          <cell r="BA1073">
            <v>115.2</v>
          </cell>
          <cell r="BB1073">
            <v>0</v>
          </cell>
          <cell r="BF1073" t="str">
            <v>Ok</v>
          </cell>
        </row>
        <row r="1074">
          <cell r="B1074" t="str">
            <v>PEYTON (ECL) SMOKEY BLUE</v>
          </cell>
          <cell r="R1074">
            <v>0</v>
          </cell>
          <cell r="S1074">
            <v>122.1</v>
          </cell>
          <cell r="T1074">
            <v>0</v>
          </cell>
          <cell r="U1074">
            <v>0</v>
          </cell>
          <cell r="BA1074">
            <v>122.1</v>
          </cell>
          <cell r="BB1074">
            <v>0</v>
          </cell>
          <cell r="BF1074" t="str">
            <v>Ok</v>
          </cell>
        </row>
        <row r="1075">
          <cell r="B1075" t="str">
            <v>PICKET DOMINO</v>
          </cell>
          <cell r="R1075">
            <v>3.55</v>
          </cell>
          <cell r="S1075">
            <v>322.2</v>
          </cell>
          <cell r="T1075">
            <v>17.399999999999999</v>
          </cell>
          <cell r="U1075">
            <v>0</v>
          </cell>
          <cell r="BA1075">
            <v>339.59999999999997</v>
          </cell>
          <cell r="BB1075">
            <v>0</v>
          </cell>
          <cell r="BF1075" t="str">
            <v>Ok</v>
          </cell>
        </row>
        <row r="1076">
          <cell r="B1076" t="str">
            <v>PICKET GRASSLAND</v>
          </cell>
          <cell r="R1076">
            <v>15.225</v>
          </cell>
          <cell r="S1076">
            <v>300.7</v>
          </cell>
          <cell r="T1076">
            <v>0</v>
          </cell>
          <cell r="U1076">
            <v>0</v>
          </cell>
          <cell r="BA1076">
            <v>300.7</v>
          </cell>
          <cell r="BB1076">
            <v>0</v>
          </cell>
          <cell r="BF1076" t="str">
            <v>Ok</v>
          </cell>
        </row>
        <row r="1077">
          <cell r="B1077" t="str">
            <v>PIER DOVE</v>
          </cell>
          <cell r="R1077">
            <v>0</v>
          </cell>
          <cell r="S1077">
            <v>71.400000000000006</v>
          </cell>
          <cell r="T1077">
            <v>0</v>
          </cell>
          <cell r="U1077">
            <v>0</v>
          </cell>
          <cell r="BA1077">
            <v>71.400000000000006</v>
          </cell>
          <cell r="BB1077">
            <v>0</v>
          </cell>
          <cell r="BF1077" t="str">
            <v>Ok</v>
          </cell>
        </row>
        <row r="1078">
          <cell r="B1078" t="str">
            <v>PIXEL ASH</v>
          </cell>
          <cell r="R1078">
            <v>368.75</v>
          </cell>
          <cell r="S1078">
            <v>1007.8</v>
          </cell>
          <cell r="T1078">
            <v>25.05</v>
          </cell>
          <cell r="U1078">
            <v>3673.4</v>
          </cell>
          <cell r="BA1078">
            <v>4706.25</v>
          </cell>
          <cell r="BB1078">
            <v>3400</v>
          </cell>
          <cell r="BF1078" t="str">
            <v>Ok</v>
          </cell>
        </row>
        <row r="1079">
          <cell r="B1079" t="str">
            <v>PIXEL DOMINO</v>
          </cell>
          <cell r="R1079">
            <v>348.7</v>
          </cell>
          <cell r="S1079">
            <v>1192.5999999999999</v>
          </cell>
          <cell r="T1079">
            <v>22.6</v>
          </cell>
          <cell r="U1079">
            <v>3527.2</v>
          </cell>
          <cell r="BA1079">
            <v>4742.3999999999996</v>
          </cell>
          <cell r="BB1079">
            <v>3000</v>
          </cell>
          <cell r="BF1079" t="str">
            <v>Ok</v>
          </cell>
        </row>
        <row r="1080">
          <cell r="B1080" t="str">
            <v>PIXEL FOSSIL</v>
          </cell>
          <cell r="R1080">
            <v>6395.1500000000005</v>
          </cell>
          <cell r="S1080">
            <v>3987.5</v>
          </cell>
          <cell r="T1080">
            <v>66.05</v>
          </cell>
          <cell r="U1080">
            <v>3969.7</v>
          </cell>
          <cell r="BA1080">
            <v>31293.25</v>
          </cell>
          <cell r="BB1080">
            <v>39850</v>
          </cell>
          <cell r="BF1080" t="str">
            <v>Resurtir</v>
          </cell>
        </row>
        <row r="1081">
          <cell r="B1081" t="str">
            <v>PIXEL LINEN</v>
          </cell>
          <cell r="R1081">
            <v>1578.55</v>
          </cell>
          <cell r="S1081">
            <v>0</v>
          </cell>
          <cell r="T1081">
            <v>42.1</v>
          </cell>
          <cell r="U1081">
            <v>0</v>
          </cell>
          <cell r="BA1081">
            <v>8757.1</v>
          </cell>
          <cell r="BB1081">
            <v>4550</v>
          </cell>
          <cell r="BF1081" t="str">
            <v>Ok</v>
          </cell>
        </row>
        <row r="1082">
          <cell r="B1082" t="str">
            <v>PLAZA DOMINO</v>
          </cell>
          <cell r="R1082">
            <v>10.15</v>
          </cell>
          <cell r="S1082">
            <v>50.2</v>
          </cell>
          <cell r="T1082">
            <v>30.97</v>
          </cell>
          <cell r="U1082">
            <v>0</v>
          </cell>
          <cell r="BA1082">
            <v>81.17</v>
          </cell>
          <cell r="BB1082">
            <v>40</v>
          </cell>
          <cell r="BF1082" t="str">
            <v>Ok</v>
          </cell>
        </row>
        <row r="1083">
          <cell r="B1083" t="str">
            <v>PLAZA NATURAL</v>
          </cell>
          <cell r="R1083">
            <v>11.4</v>
          </cell>
          <cell r="S1083">
            <v>221.92</v>
          </cell>
          <cell r="T1083">
            <v>19.57</v>
          </cell>
          <cell r="U1083">
            <v>0</v>
          </cell>
          <cell r="BA1083">
            <v>241.48999999999998</v>
          </cell>
          <cell r="BB1083">
            <v>0</v>
          </cell>
          <cell r="BF1083" t="str">
            <v>Ok</v>
          </cell>
        </row>
        <row r="1084">
          <cell r="B1084" t="str">
            <v>POINT ADMIRAL</v>
          </cell>
          <cell r="R1084">
            <v>0.375</v>
          </cell>
          <cell r="S1084">
            <v>98.66</v>
          </cell>
          <cell r="T1084">
            <v>17.11</v>
          </cell>
          <cell r="U1084">
            <v>48.74</v>
          </cell>
          <cell r="BA1084">
            <v>164.51</v>
          </cell>
          <cell r="BB1084">
            <v>0</v>
          </cell>
          <cell r="BF1084" t="str">
            <v>Ok</v>
          </cell>
        </row>
        <row r="1085">
          <cell r="B1085" t="str">
            <v>POINT CAMEL</v>
          </cell>
          <cell r="R1085">
            <v>36.034999999999997</v>
          </cell>
          <cell r="S1085">
            <v>91.11</v>
          </cell>
          <cell r="T1085">
            <v>34.090000000000003</v>
          </cell>
          <cell r="U1085">
            <v>0</v>
          </cell>
          <cell r="BA1085">
            <v>220.2</v>
          </cell>
          <cell r="BB1085">
            <v>100</v>
          </cell>
          <cell r="BF1085" t="str">
            <v>Ok</v>
          </cell>
        </row>
        <row r="1086">
          <cell r="B1086" t="str">
            <v>POINT DOMINO</v>
          </cell>
          <cell r="R1086">
            <v>27.25</v>
          </cell>
          <cell r="S1086">
            <v>195.13</v>
          </cell>
          <cell r="T1086">
            <v>47.39</v>
          </cell>
          <cell r="U1086">
            <v>0</v>
          </cell>
          <cell r="BA1086">
            <v>242.51999999999998</v>
          </cell>
          <cell r="BB1086">
            <v>200</v>
          </cell>
          <cell r="BF1086" t="str">
            <v>Ok</v>
          </cell>
        </row>
        <row r="1087">
          <cell r="B1087" t="str">
            <v>POINT DOVE</v>
          </cell>
          <cell r="R1087">
            <v>0</v>
          </cell>
          <cell r="S1087">
            <v>45.19</v>
          </cell>
          <cell r="T1087">
            <v>28.25</v>
          </cell>
          <cell r="U1087">
            <v>97.38</v>
          </cell>
          <cell r="BA1087">
            <v>170.82</v>
          </cell>
          <cell r="BB1087">
            <v>0</v>
          </cell>
          <cell r="BF1087" t="str">
            <v>Ok</v>
          </cell>
        </row>
        <row r="1088">
          <cell r="B1088" t="str">
            <v>POINT DUNE</v>
          </cell>
          <cell r="R1088">
            <v>47.174999999999997</v>
          </cell>
          <cell r="S1088">
            <v>275.33</v>
          </cell>
          <cell r="T1088">
            <v>28.49</v>
          </cell>
          <cell r="U1088">
            <v>0</v>
          </cell>
          <cell r="BA1088">
            <v>549.81999999999994</v>
          </cell>
          <cell r="BB1088">
            <v>50</v>
          </cell>
          <cell r="BF1088" t="str">
            <v>Ok</v>
          </cell>
        </row>
        <row r="1089">
          <cell r="B1089" t="str">
            <v>POINT GREY</v>
          </cell>
          <cell r="R1089">
            <v>10.5</v>
          </cell>
          <cell r="S1089">
            <v>72.95</v>
          </cell>
          <cell r="T1089">
            <v>21.63</v>
          </cell>
          <cell r="U1089">
            <v>0</v>
          </cell>
          <cell r="BA1089">
            <v>94.58</v>
          </cell>
          <cell r="BB1089">
            <v>0</v>
          </cell>
          <cell r="BF1089" t="str">
            <v>Ok</v>
          </cell>
        </row>
        <row r="1090">
          <cell r="B1090" t="str">
            <v>POINT IVORY</v>
          </cell>
          <cell r="R1090">
            <v>85.894999999999996</v>
          </cell>
          <cell r="S1090">
            <v>206.77</v>
          </cell>
          <cell r="T1090">
            <v>63.31</v>
          </cell>
          <cell r="U1090">
            <v>47.64</v>
          </cell>
          <cell r="BA1090">
            <v>317.72000000000003</v>
          </cell>
          <cell r="BB1090">
            <v>200</v>
          </cell>
          <cell r="BF1090" t="str">
            <v>Resurtir</v>
          </cell>
        </row>
        <row r="1091">
          <cell r="B1091" t="str">
            <v>POINT LINEN</v>
          </cell>
          <cell r="R1091">
            <v>51.085000000000001</v>
          </cell>
          <cell r="S1091">
            <v>129.22</v>
          </cell>
          <cell r="T1091">
            <v>6.03</v>
          </cell>
          <cell r="U1091">
            <v>97.01</v>
          </cell>
          <cell r="BA1091">
            <v>377.26</v>
          </cell>
          <cell r="BB1091">
            <v>200</v>
          </cell>
          <cell r="BF1091" t="str">
            <v>Ok</v>
          </cell>
        </row>
        <row r="1092">
          <cell r="B1092" t="str">
            <v>POINT PEBBLE</v>
          </cell>
          <cell r="R1092">
            <v>104.5</v>
          </cell>
          <cell r="S1092">
            <v>168.04</v>
          </cell>
          <cell r="T1092">
            <v>6.05</v>
          </cell>
          <cell r="U1092">
            <v>0</v>
          </cell>
          <cell r="BA1092">
            <v>616.09</v>
          </cell>
          <cell r="BB1092">
            <v>0</v>
          </cell>
          <cell r="BF1092" t="str">
            <v>Ok</v>
          </cell>
        </row>
        <row r="1093">
          <cell r="B1093" t="str">
            <v>POINT POOL</v>
          </cell>
          <cell r="R1093">
            <v>6.5</v>
          </cell>
          <cell r="S1093">
            <v>113.45</v>
          </cell>
          <cell r="T1093">
            <v>14.22</v>
          </cell>
          <cell r="U1093">
            <v>0</v>
          </cell>
          <cell r="BA1093">
            <v>174.67000000000002</v>
          </cell>
          <cell r="BB1093">
            <v>0</v>
          </cell>
          <cell r="BF1093" t="str">
            <v>Ok</v>
          </cell>
        </row>
        <row r="1094">
          <cell r="B1094" t="str">
            <v>POINT SKY</v>
          </cell>
          <cell r="R1094">
            <v>0.5</v>
          </cell>
          <cell r="S1094">
            <v>22.1</v>
          </cell>
          <cell r="T1094">
            <v>10.54</v>
          </cell>
          <cell r="U1094">
            <v>0</v>
          </cell>
          <cell r="BA1094">
            <v>179.64</v>
          </cell>
          <cell r="BB1094">
            <v>0</v>
          </cell>
          <cell r="BF1094" t="str">
            <v>Ok</v>
          </cell>
        </row>
        <row r="1095">
          <cell r="B1095" t="str">
            <v>POINT WHITE</v>
          </cell>
          <cell r="R1095">
            <v>43</v>
          </cell>
          <cell r="S1095">
            <v>76.349999999999994</v>
          </cell>
          <cell r="T1095">
            <v>5.1100000000000003</v>
          </cell>
          <cell r="U1095">
            <v>0</v>
          </cell>
          <cell r="BA1095">
            <v>181.45999999999998</v>
          </cell>
          <cell r="BB1095">
            <v>0</v>
          </cell>
          <cell r="BF1095" t="str">
            <v>Resurtir</v>
          </cell>
        </row>
        <row r="1096">
          <cell r="B1096" t="str">
            <v>POPSTAR ECRU</v>
          </cell>
          <cell r="R1096">
            <v>40.299999999999997</v>
          </cell>
          <cell r="S1096">
            <v>226.31</v>
          </cell>
          <cell r="T1096">
            <v>31.57</v>
          </cell>
          <cell r="U1096">
            <v>0</v>
          </cell>
          <cell r="BA1096">
            <v>409.88</v>
          </cell>
          <cell r="BB1096">
            <v>0</v>
          </cell>
          <cell r="BF1096" t="str">
            <v>Ok</v>
          </cell>
        </row>
        <row r="1097">
          <cell r="B1097" t="str">
            <v>POPSTAR SAND</v>
          </cell>
          <cell r="R1097">
            <v>73.135000000000005</v>
          </cell>
          <cell r="S1097">
            <v>100.5</v>
          </cell>
          <cell r="T1097">
            <v>51.42</v>
          </cell>
          <cell r="U1097">
            <v>0</v>
          </cell>
          <cell r="BA1097">
            <v>351.92</v>
          </cell>
          <cell r="BB1097">
            <v>100</v>
          </cell>
          <cell r="BF1097" t="str">
            <v>Ok</v>
          </cell>
        </row>
        <row r="1098">
          <cell r="B1098" t="str">
            <v>POPSTAR SNOW</v>
          </cell>
          <cell r="R1098">
            <v>219.45249999999999</v>
          </cell>
          <cell r="S1098">
            <v>348.56</v>
          </cell>
          <cell r="T1098">
            <v>107.65</v>
          </cell>
          <cell r="U1098">
            <v>50.47</v>
          </cell>
          <cell r="BA1098">
            <v>918.68000000000006</v>
          </cell>
          <cell r="BB1098">
            <v>550</v>
          </cell>
          <cell r="BF1098" t="str">
            <v>Resurtir</v>
          </cell>
        </row>
        <row r="1099">
          <cell r="B1099" t="str">
            <v>PRAIRIE BARK</v>
          </cell>
          <cell r="R1099">
            <v>0.25</v>
          </cell>
          <cell r="S1099">
            <v>23.68</v>
          </cell>
          <cell r="T1099">
            <v>13.32</v>
          </cell>
          <cell r="U1099">
            <v>48.01</v>
          </cell>
          <cell r="BA1099">
            <v>85.009999999999991</v>
          </cell>
          <cell r="BB1099">
            <v>0</v>
          </cell>
          <cell r="BF1099" t="str">
            <v>Ok</v>
          </cell>
        </row>
        <row r="1100">
          <cell r="B1100" t="str">
            <v>PRAIRIE DENIM</v>
          </cell>
          <cell r="R1100">
            <v>0</v>
          </cell>
          <cell r="S1100">
            <v>161.76</v>
          </cell>
          <cell r="T1100">
            <v>15.6</v>
          </cell>
          <cell r="U1100">
            <v>0</v>
          </cell>
          <cell r="BA1100">
            <v>177.35999999999999</v>
          </cell>
          <cell r="BB1100">
            <v>0</v>
          </cell>
          <cell r="BF1100" t="str">
            <v>Ok</v>
          </cell>
        </row>
        <row r="1101">
          <cell r="B1101" t="str">
            <v>PRAIRIE SPA</v>
          </cell>
          <cell r="R1101">
            <v>0</v>
          </cell>
          <cell r="S1101">
            <v>67.03</v>
          </cell>
          <cell r="T1101">
            <v>0</v>
          </cell>
          <cell r="U1101">
            <v>0</v>
          </cell>
          <cell r="BA1101">
            <v>67.03</v>
          </cell>
          <cell r="BB1101">
            <v>0</v>
          </cell>
          <cell r="BF1101" t="str">
            <v>Ok</v>
          </cell>
        </row>
        <row r="1102">
          <cell r="B1102" t="str">
            <v>PRATO BEIGE</v>
          </cell>
          <cell r="R1102">
            <v>7.875</v>
          </cell>
          <cell r="S1102">
            <v>0</v>
          </cell>
          <cell r="T1102">
            <v>18.100000000000001</v>
          </cell>
          <cell r="U1102">
            <v>0</v>
          </cell>
          <cell r="BA1102">
            <v>118.1</v>
          </cell>
          <cell r="BB1102">
            <v>0</v>
          </cell>
          <cell r="BF1102" t="str">
            <v>Ok</v>
          </cell>
        </row>
        <row r="1103">
          <cell r="B1103" t="str">
            <v>PRESTIGE CREAM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BA1103">
            <v>0</v>
          </cell>
          <cell r="BB1103">
            <v>0</v>
          </cell>
          <cell r="BF1103" t="str">
            <v>Resurtir</v>
          </cell>
        </row>
        <row r="1104">
          <cell r="B1104" t="str">
            <v>PRESTIGE CREAM ZF</v>
          </cell>
          <cell r="R1104">
            <v>14.45</v>
          </cell>
          <cell r="S1104">
            <v>173.6</v>
          </cell>
          <cell r="T1104">
            <v>25.2</v>
          </cell>
          <cell r="U1104">
            <v>293</v>
          </cell>
          <cell r="BA1104">
            <v>491.79999999999995</v>
          </cell>
          <cell r="BB1104">
            <v>0</v>
          </cell>
          <cell r="BF1104" t="str">
            <v>Ok</v>
          </cell>
        </row>
        <row r="1105">
          <cell r="B1105" t="str">
            <v>PRESTIGE IVORY</v>
          </cell>
          <cell r="R1105">
            <v>0</v>
          </cell>
          <cell r="S1105">
            <v>0</v>
          </cell>
          <cell r="T1105">
            <v>-9</v>
          </cell>
          <cell r="U1105">
            <v>0</v>
          </cell>
          <cell r="BA1105">
            <v>-9</v>
          </cell>
          <cell r="BB1105">
            <v>0</v>
          </cell>
          <cell r="BF1105" t="str">
            <v>Resurtir</v>
          </cell>
        </row>
        <row r="1106">
          <cell r="B1106" t="str">
            <v>PRESTIGE IVORY ZF</v>
          </cell>
          <cell r="R1106">
            <v>23.950000000000003</v>
          </cell>
          <cell r="S1106">
            <v>145.19999999999999</v>
          </cell>
          <cell r="T1106">
            <v>30.9</v>
          </cell>
          <cell r="U1106">
            <v>299.5</v>
          </cell>
          <cell r="BA1106">
            <v>475.6</v>
          </cell>
          <cell r="BB1106">
            <v>0</v>
          </cell>
          <cell r="BF1106" t="str">
            <v>Ok</v>
          </cell>
        </row>
        <row r="1107">
          <cell r="B1107" t="str">
            <v>PRESTIGE NATURAL</v>
          </cell>
          <cell r="R1107">
            <v>0</v>
          </cell>
          <cell r="S1107">
            <v>0</v>
          </cell>
          <cell r="T1107">
            <v>5.2</v>
          </cell>
          <cell r="U1107">
            <v>0</v>
          </cell>
          <cell r="BA1107">
            <v>5.2</v>
          </cell>
          <cell r="BB1107">
            <v>0</v>
          </cell>
          <cell r="BF1107" t="str">
            <v>Ok</v>
          </cell>
        </row>
        <row r="1108">
          <cell r="B1108" t="str">
            <v>PRESTIGE NATURAL ZF</v>
          </cell>
          <cell r="R1108">
            <v>24.074999999999999</v>
          </cell>
          <cell r="S1108">
            <v>234.4</v>
          </cell>
          <cell r="T1108">
            <v>0</v>
          </cell>
          <cell r="U1108">
            <v>396.1</v>
          </cell>
          <cell r="BA1108">
            <v>630.5</v>
          </cell>
          <cell r="BB1108">
            <v>0</v>
          </cell>
          <cell r="BF1108" t="str">
            <v>Ok</v>
          </cell>
        </row>
        <row r="1109">
          <cell r="B1109" t="str">
            <v>PRESTIGE SNOW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BA1109">
            <v>0</v>
          </cell>
          <cell r="BB1109">
            <v>0</v>
          </cell>
          <cell r="BF1109" t="str">
            <v>Resurtir</v>
          </cell>
        </row>
        <row r="1110">
          <cell r="B1110" t="str">
            <v>PRESTIGE SNOW C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BA1110">
            <v>0</v>
          </cell>
          <cell r="BB1110">
            <v>0</v>
          </cell>
          <cell r="BF1110" t="str">
            <v>Resurtir</v>
          </cell>
        </row>
        <row r="1111">
          <cell r="B1111" t="str">
            <v>PRESTIGE SNOW ZF</v>
          </cell>
          <cell r="R1111">
            <v>26.5</v>
          </cell>
          <cell r="S1111">
            <v>275</v>
          </cell>
          <cell r="T1111">
            <v>15.2</v>
          </cell>
          <cell r="U1111">
            <v>0</v>
          </cell>
          <cell r="BA1111">
            <v>290.2</v>
          </cell>
          <cell r="BB1111">
            <v>50</v>
          </cell>
          <cell r="BF1111" t="str">
            <v>Ok</v>
          </cell>
        </row>
        <row r="1112">
          <cell r="B1112" t="str">
            <v>PRESTIGE TUXEDO</v>
          </cell>
          <cell r="R1112">
            <v>4</v>
          </cell>
          <cell r="S1112">
            <v>226.95</v>
          </cell>
          <cell r="T1112">
            <v>0</v>
          </cell>
          <cell r="U1112">
            <v>0</v>
          </cell>
          <cell r="BA1112">
            <v>226.95</v>
          </cell>
          <cell r="BB1112">
            <v>0</v>
          </cell>
          <cell r="BF1112" t="str">
            <v>Ok</v>
          </cell>
        </row>
        <row r="1113">
          <cell r="B1113" t="str">
            <v>PRESTIGE TUXEDO ZF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BA1113">
            <v>0</v>
          </cell>
          <cell r="BB1113">
            <v>0</v>
          </cell>
          <cell r="BF1113" t="str">
            <v>Resurtir</v>
          </cell>
        </row>
        <row r="1114">
          <cell r="B1114" t="str">
            <v>PRESTO CHARCOAL</v>
          </cell>
          <cell r="R1114">
            <v>43.625</v>
          </cell>
          <cell r="S1114">
            <v>310.2</v>
          </cell>
          <cell r="T1114">
            <v>24.8</v>
          </cell>
          <cell r="U1114">
            <v>0</v>
          </cell>
          <cell r="BA1114">
            <v>335</v>
          </cell>
          <cell r="BB1114">
            <v>300</v>
          </cell>
          <cell r="BF1114" t="str">
            <v>Ok</v>
          </cell>
        </row>
        <row r="1115">
          <cell r="B1115" t="str">
            <v>PRESTO FLAX</v>
          </cell>
          <cell r="R1115">
            <v>240.79999999999998</v>
          </cell>
          <cell r="S1115">
            <v>21.2</v>
          </cell>
          <cell r="T1115">
            <v>5.4</v>
          </cell>
          <cell r="U1115">
            <v>0</v>
          </cell>
          <cell r="BA1115">
            <v>1224.5999999999999</v>
          </cell>
          <cell r="BB1115">
            <v>500</v>
          </cell>
          <cell r="BF1115" t="str">
            <v>Ok</v>
          </cell>
        </row>
        <row r="1116">
          <cell r="B1116" t="str">
            <v>PRESTO STONE</v>
          </cell>
          <cell r="R1116">
            <v>53.975000000000001</v>
          </cell>
          <cell r="S1116">
            <v>2003.5</v>
          </cell>
          <cell r="T1116">
            <v>27.5</v>
          </cell>
          <cell r="U1116">
            <v>265.8</v>
          </cell>
          <cell r="BA1116">
            <v>2296.8000000000002</v>
          </cell>
          <cell r="BB1116">
            <v>700</v>
          </cell>
          <cell r="BF1116" t="str">
            <v>Ok</v>
          </cell>
        </row>
        <row r="1117">
          <cell r="B1117" t="str">
            <v>PROHIBITION IVORY</v>
          </cell>
          <cell r="R1117">
            <v>462.66999999999996</v>
          </cell>
          <cell r="S1117">
            <v>1241.04</v>
          </cell>
          <cell r="T1117">
            <v>84.11</v>
          </cell>
          <cell r="U1117">
            <v>1312.79</v>
          </cell>
          <cell r="BA1117">
            <v>4044.9399999999996</v>
          </cell>
          <cell r="BB1117">
            <v>480</v>
          </cell>
          <cell r="BF1117" t="str">
            <v>Ok</v>
          </cell>
        </row>
        <row r="1118">
          <cell r="B1118" t="str">
            <v>PROHIBITION PEARL</v>
          </cell>
          <cell r="R1118">
            <v>487.83249999999998</v>
          </cell>
          <cell r="S1118">
            <v>24.65</v>
          </cell>
          <cell r="T1118">
            <v>79.52</v>
          </cell>
          <cell r="U1118">
            <v>0</v>
          </cell>
          <cell r="BA1118">
            <v>2118.17</v>
          </cell>
          <cell r="BB1118">
            <v>600</v>
          </cell>
          <cell r="BF1118" t="str">
            <v>Resurtir</v>
          </cell>
        </row>
        <row r="1119">
          <cell r="B1119" t="str">
            <v>PROHIBITION SNOW</v>
          </cell>
          <cell r="R1119">
            <v>87.490000000000009</v>
          </cell>
          <cell r="S1119">
            <v>284.95</v>
          </cell>
          <cell r="T1119">
            <v>42.71</v>
          </cell>
          <cell r="U1119">
            <v>0</v>
          </cell>
          <cell r="BA1119">
            <v>625.66</v>
          </cell>
          <cell r="BB1119">
            <v>200</v>
          </cell>
          <cell r="BF1119" t="str">
            <v>Ok</v>
          </cell>
        </row>
        <row r="1120">
          <cell r="B1120" t="str">
            <v>QUARRY NAVY</v>
          </cell>
          <cell r="R1120">
            <v>41.875</v>
          </cell>
          <cell r="S1120">
            <v>0</v>
          </cell>
          <cell r="T1120">
            <v>7.3</v>
          </cell>
          <cell r="U1120">
            <v>0</v>
          </cell>
          <cell r="BA1120">
            <v>206.3</v>
          </cell>
          <cell r="BB1120">
            <v>150</v>
          </cell>
          <cell r="BF1120" t="str">
            <v>Ok</v>
          </cell>
        </row>
        <row r="1121">
          <cell r="B1121" t="str">
            <v>QUE DESSERT</v>
          </cell>
          <cell r="R1121">
            <v>17.95</v>
          </cell>
          <cell r="S1121">
            <v>325.39999999999998</v>
          </cell>
          <cell r="T1121">
            <v>0</v>
          </cell>
          <cell r="U1121">
            <v>157.5</v>
          </cell>
          <cell r="BA1121">
            <v>482.9</v>
          </cell>
          <cell r="BB1121">
            <v>0</v>
          </cell>
          <cell r="BF1121" t="str">
            <v>Ok</v>
          </cell>
        </row>
        <row r="1122">
          <cell r="B1122" t="str">
            <v>QUE MARBLE</v>
          </cell>
          <cell r="R1122">
            <v>3.55</v>
          </cell>
          <cell r="S1122">
            <v>47.5</v>
          </cell>
          <cell r="T1122">
            <v>10.8</v>
          </cell>
          <cell r="U1122">
            <v>0</v>
          </cell>
          <cell r="BA1122">
            <v>58.3</v>
          </cell>
          <cell r="BB1122">
            <v>0</v>
          </cell>
          <cell r="BF1122" t="str">
            <v>Ok</v>
          </cell>
        </row>
        <row r="1123">
          <cell r="B1123" t="str">
            <v>QUE SPICE</v>
          </cell>
          <cell r="R1123">
            <v>16.38</v>
          </cell>
          <cell r="S1123">
            <v>30.7</v>
          </cell>
          <cell r="T1123">
            <v>7.4</v>
          </cell>
          <cell r="U1123">
            <v>0</v>
          </cell>
          <cell r="BA1123">
            <v>138.1</v>
          </cell>
          <cell r="BB1123">
            <v>20</v>
          </cell>
          <cell r="BF1123" t="str">
            <v>Ok</v>
          </cell>
        </row>
        <row r="1124">
          <cell r="B1124" t="str">
            <v>QUINCY ASH</v>
          </cell>
          <cell r="R1124">
            <v>118.46250000000001</v>
          </cell>
          <cell r="S1124">
            <v>541.29999999999995</v>
          </cell>
          <cell r="T1124">
            <v>65.2</v>
          </cell>
          <cell r="U1124">
            <v>1053.4000000000001</v>
          </cell>
          <cell r="BA1124">
            <v>1659.9</v>
          </cell>
          <cell r="BB1124">
            <v>1550</v>
          </cell>
          <cell r="BF1124" t="str">
            <v>Ok</v>
          </cell>
        </row>
        <row r="1125">
          <cell r="B1125" t="str">
            <v>QUINCY CHARCOAL</v>
          </cell>
          <cell r="R1125">
            <v>133.44999999999999</v>
          </cell>
          <cell r="S1125">
            <v>1008.6</v>
          </cell>
          <cell r="T1125">
            <v>41.2</v>
          </cell>
          <cell r="U1125">
            <v>0</v>
          </cell>
          <cell r="BA1125">
            <v>1049.8</v>
          </cell>
          <cell r="BB1125">
            <v>300</v>
          </cell>
          <cell r="BF1125" t="str">
            <v>Ok</v>
          </cell>
        </row>
        <row r="1126">
          <cell r="B1126" t="str">
            <v>QUINCY IVORY</v>
          </cell>
          <cell r="R1126">
            <v>289.73750000000001</v>
          </cell>
          <cell r="S1126">
            <v>1006.6</v>
          </cell>
          <cell r="T1126">
            <v>49</v>
          </cell>
          <cell r="U1126">
            <v>0</v>
          </cell>
          <cell r="BA1126">
            <v>2064.6</v>
          </cell>
          <cell r="BB1126">
            <v>1030</v>
          </cell>
          <cell r="BF1126" t="str">
            <v>Ok</v>
          </cell>
        </row>
        <row r="1127">
          <cell r="B1127" t="str">
            <v>QUINCY LATTE</v>
          </cell>
          <cell r="R1127">
            <v>109.82499999999999</v>
          </cell>
          <cell r="S1127">
            <v>377.8</v>
          </cell>
          <cell r="T1127">
            <v>75.3</v>
          </cell>
          <cell r="U1127">
            <v>1046.5</v>
          </cell>
          <cell r="BA1127">
            <v>1499.6</v>
          </cell>
          <cell r="BB1127">
            <v>250</v>
          </cell>
          <cell r="BF1127" t="str">
            <v>Ok</v>
          </cell>
        </row>
        <row r="1128">
          <cell r="B1128" t="str">
            <v>QUINCY PLATINUM</v>
          </cell>
          <cell r="R1128">
            <v>26.9</v>
          </cell>
          <cell r="S1128">
            <v>82</v>
          </cell>
          <cell r="T1128">
            <v>17.2</v>
          </cell>
          <cell r="U1128">
            <v>1052.5</v>
          </cell>
          <cell r="BA1128">
            <v>1151.7</v>
          </cell>
          <cell r="BB1128">
            <v>100</v>
          </cell>
          <cell r="BF1128" t="str">
            <v>Ok</v>
          </cell>
        </row>
        <row r="1129">
          <cell r="B1129" t="str">
            <v>RAG-RUG DUSK</v>
          </cell>
          <cell r="R1129">
            <v>8.7750000000000004</v>
          </cell>
          <cell r="S1129">
            <v>27.43</v>
          </cell>
          <cell r="T1129">
            <v>18.52</v>
          </cell>
          <cell r="U1129">
            <v>0</v>
          </cell>
          <cell r="BA1129">
            <v>45.95</v>
          </cell>
          <cell r="BB1129">
            <v>0</v>
          </cell>
          <cell r="BF1129" t="str">
            <v>Ok</v>
          </cell>
        </row>
        <row r="1130">
          <cell r="B1130" t="str">
            <v>RAG-RUG RIVERSIDE</v>
          </cell>
          <cell r="R1130">
            <v>5</v>
          </cell>
          <cell r="S1130">
            <v>27.43</v>
          </cell>
          <cell r="T1130">
            <v>35.79</v>
          </cell>
          <cell r="U1130">
            <v>47.36</v>
          </cell>
          <cell r="BA1130">
            <v>110.58</v>
          </cell>
          <cell r="BB1130">
            <v>50</v>
          </cell>
          <cell r="BF1130" t="str">
            <v>Ok</v>
          </cell>
        </row>
        <row r="1131">
          <cell r="B1131" t="str">
            <v>RAYOS IVORY</v>
          </cell>
          <cell r="R1131">
            <v>6.9249999999999998</v>
          </cell>
          <cell r="S1131">
            <v>908.9</v>
          </cell>
          <cell r="T1131">
            <v>11.95</v>
          </cell>
          <cell r="U1131">
            <v>816.1</v>
          </cell>
          <cell r="BA1131">
            <v>1736.95</v>
          </cell>
          <cell r="BB1131">
            <v>0</v>
          </cell>
          <cell r="BF1131" t="str">
            <v>Ok</v>
          </cell>
        </row>
        <row r="1132">
          <cell r="B1132" t="str">
            <v>RAYOS MOCCASIN</v>
          </cell>
          <cell r="R1132">
            <v>7.9749999999999996</v>
          </cell>
          <cell r="S1132">
            <v>426.25</v>
          </cell>
          <cell r="T1132">
            <v>11.55</v>
          </cell>
          <cell r="U1132">
            <v>0</v>
          </cell>
          <cell r="BA1132">
            <v>437.8</v>
          </cell>
          <cell r="BB1132">
            <v>0</v>
          </cell>
          <cell r="BF1132" t="str">
            <v>Ok</v>
          </cell>
        </row>
        <row r="1133">
          <cell r="B1133" t="str">
            <v>RAYOS PEWTER</v>
          </cell>
          <cell r="R1133">
            <v>7.47</v>
          </cell>
          <cell r="S1133">
            <v>296.8</v>
          </cell>
          <cell r="T1133">
            <v>13.87</v>
          </cell>
          <cell r="U1133">
            <v>0</v>
          </cell>
          <cell r="BA1133">
            <v>310.67</v>
          </cell>
          <cell r="BB1133">
            <v>0</v>
          </cell>
          <cell r="BF1133" t="str">
            <v>Ok</v>
          </cell>
        </row>
        <row r="1134">
          <cell r="B1134" t="str">
            <v>RAYOS SUGAR</v>
          </cell>
          <cell r="R1134">
            <v>57.597499999999997</v>
          </cell>
          <cell r="S1134">
            <v>577.70000000000005</v>
          </cell>
          <cell r="T1134">
            <v>0</v>
          </cell>
          <cell r="U1134">
            <v>0</v>
          </cell>
          <cell r="BA1134">
            <v>577.70000000000005</v>
          </cell>
          <cell r="BB1134">
            <v>250</v>
          </cell>
          <cell r="BF1134" t="str">
            <v>Ok</v>
          </cell>
        </row>
        <row r="1135">
          <cell r="B1135" t="str">
            <v>RAYOS TAN</v>
          </cell>
          <cell r="R1135">
            <v>59.95</v>
          </cell>
          <cell r="S1135">
            <v>297.5</v>
          </cell>
          <cell r="T1135">
            <v>5.3</v>
          </cell>
          <cell r="U1135">
            <v>636.29999999999995</v>
          </cell>
          <cell r="BA1135">
            <v>939.09999999999991</v>
          </cell>
          <cell r="BB1135">
            <v>155</v>
          </cell>
          <cell r="BF1135" t="str">
            <v>Ok</v>
          </cell>
        </row>
        <row r="1136">
          <cell r="B1136" t="str">
            <v>REEF AQUA</v>
          </cell>
          <cell r="R1136">
            <v>3</v>
          </cell>
          <cell r="S1136">
            <v>22.4</v>
          </cell>
          <cell r="T1136">
            <v>0</v>
          </cell>
          <cell r="U1136">
            <v>202.7</v>
          </cell>
          <cell r="BA1136">
            <v>225.1</v>
          </cell>
          <cell r="BB1136">
            <v>0</v>
          </cell>
          <cell r="BF1136" t="str">
            <v>Ok</v>
          </cell>
        </row>
        <row r="1137">
          <cell r="B1137" t="str">
            <v>REEF CABANA</v>
          </cell>
          <cell r="R1137">
            <v>4.5</v>
          </cell>
          <cell r="S1137">
            <v>105.2</v>
          </cell>
          <cell r="T1137">
            <v>22.3</v>
          </cell>
          <cell r="U1137">
            <v>0</v>
          </cell>
          <cell r="BA1137">
            <v>324.5</v>
          </cell>
          <cell r="BB1137">
            <v>150</v>
          </cell>
          <cell r="BF1137" t="str">
            <v>Ok</v>
          </cell>
        </row>
        <row r="1138">
          <cell r="B1138" t="str">
            <v>REEF CAVIAR</v>
          </cell>
          <cell r="R1138">
            <v>0.625</v>
          </cell>
          <cell r="S1138">
            <v>29</v>
          </cell>
          <cell r="T1138">
            <v>6.8</v>
          </cell>
          <cell r="U1138">
            <v>0</v>
          </cell>
          <cell r="BA1138">
            <v>35.799999999999997</v>
          </cell>
          <cell r="BB1138">
            <v>150</v>
          </cell>
          <cell r="BF1138" t="str">
            <v>Resurtir</v>
          </cell>
        </row>
        <row r="1139">
          <cell r="B1139" t="str">
            <v>REEF DOLPHIN</v>
          </cell>
          <cell r="R1139">
            <v>0</v>
          </cell>
          <cell r="S1139">
            <v>178.4</v>
          </cell>
          <cell r="T1139">
            <v>0</v>
          </cell>
          <cell r="U1139">
            <v>0</v>
          </cell>
          <cell r="BA1139">
            <v>178.4</v>
          </cell>
          <cell r="BB1139">
            <v>0</v>
          </cell>
          <cell r="BF1139" t="str">
            <v>Ok</v>
          </cell>
        </row>
        <row r="1140">
          <cell r="B1140" t="str">
            <v>REEF JUNGLE</v>
          </cell>
          <cell r="R1140">
            <v>1.0625</v>
          </cell>
          <cell r="S1140">
            <v>98.5</v>
          </cell>
          <cell r="T1140">
            <v>16.5</v>
          </cell>
          <cell r="U1140">
            <v>0</v>
          </cell>
          <cell r="BA1140">
            <v>115</v>
          </cell>
          <cell r="BB1140">
            <v>0</v>
          </cell>
          <cell r="BF1140" t="str">
            <v>Ok</v>
          </cell>
        </row>
        <row r="1141">
          <cell r="B1141" t="str">
            <v>REFLECT BEIGE</v>
          </cell>
          <cell r="R1141">
            <v>163.65</v>
          </cell>
          <cell r="S1141">
            <v>613</v>
          </cell>
          <cell r="T1141">
            <v>42</v>
          </cell>
          <cell r="U1141">
            <v>0</v>
          </cell>
          <cell r="BA1141">
            <v>655</v>
          </cell>
          <cell r="BB1141">
            <v>100</v>
          </cell>
          <cell r="BF1141" t="str">
            <v>Resurtir</v>
          </cell>
        </row>
        <row r="1142">
          <cell r="B1142" t="str">
            <v>REFLECT CHARCOAL</v>
          </cell>
          <cell r="R1142">
            <v>1370.3000000000002</v>
          </cell>
          <cell r="S1142">
            <v>1075.9000000000001</v>
          </cell>
          <cell r="T1142">
            <v>17.2</v>
          </cell>
          <cell r="U1142">
            <v>1105.2</v>
          </cell>
          <cell r="BA1142">
            <v>4424.3</v>
          </cell>
          <cell r="BB1142">
            <v>6510</v>
          </cell>
          <cell r="BF1142" t="str">
            <v>Resurtir</v>
          </cell>
        </row>
        <row r="1143">
          <cell r="B1143" t="str">
            <v>REFLECT CREAM</v>
          </cell>
          <cell r="R1143">
            <v>208.77499999999998</v>
          </cell>
          <cell r="S1143">
            <v>921.3</v>
          </cell>
          <cell r="T1143">
            <v>31.8</v>
          </cell>
          <cell r="U1143">
            <v>0</v>
          </cell>
          <cell r="BA1143">
            <v>953.09999999999991</v>
          </cell>
          <cell r="BB1143">
            <v>700</v>
          </cell>
          <cell r="BF1143" t="str">
            <v>Ok</v>
          </cell>
        </row>
        <row r="1144">
          <cell r="B1144" t="str">
            <v>REFLECT DOVE</v>
          </cell>
          <cell r="R1144">
            <v>140</v>
          </cell>
          <cell r="S1144">
            <v>2371.6999999999998</v>
          </cell>
          <cell r="T1144">
            <v>25.8</v>
          </cell>
          <cell r="U1144">
            <v>63.6</v>
          </cell>
          <cell r="BA1144">
            <v>2461.1</v>
          </cell>
          <cell r="BB1144">
            <v>250</v>
          </cell>
          <cell r="BF1144" t="str">
            <v>Ok</v>
          </cell>
        </row>
        <row r="1145">
          <cell r="B1145" t="str">
            <v>REFLECT ECRU</v>
          </cell>
          <cell r="R1145">
            <v>1567.925</v>
          </cell>
          <cell r="S1145">
            <v>1335.9</v>
          </cell>
          <cell r="T1145">
            <v>87.9</v>
          </cell>
          <cell r="U1145">
            <v>85.5</v>
          </cell>
          <cell r="BA1145">
            <v>3109.3</v>
          </cell>
          <cell r="BB1145">
            <v>5200</v>
          </cell>
          <cell r="BF1145" t="str">
            <v>Resurtir</v>
          </cell>
        </row>
        <row r="1146">
          <cell r="B1146" t="str">
            <v>REFLECT FOSSIL</v>
          </cell>
          <cell r="R1146">
            <v>830.8</v>
          </cell>
          <cell r="S1146">
            <v>2150.1999999999998</v>
          </cell>
          <cell r="T1146">
            <v>60.5</v>
          </cell>
          <cell r="U1146">
            <v>0</v>
          </cell>
          <cell r="BA1146">
            <v>3324.7</v>
          </cell>
          <cell r="BB1146">
            <v>2250</v>
          </cell>
          <cell r="BF1146" t="str">
            <v>Resurtir</v>
          </cell>
        </row>
        <row r="1147">
          <cell r="B1147" t="str">
            <v>REFLECT GOLD</v>
          </cell>
          <cell r="R1147">
            <v>30</v>
          </cell>
          <cell r="S1147">
            <v>404.45</v>
          </cell>
          <cell r="T1147">
            <v>0</v>
          </cell>
          <cell r="U1147">
            <v>0</v>
          </cell>
          <cell r="BA1147">
            <v>404.45</v>
          </cell>
          <cell r="BB1147">
            <v>0</v>
          </cell>
          <cell r="BF1147" t="str">
            <v>Ok</v>
          </cell>
        </row>
        <row r="1148">
          <cell r="B1148" t="str">
            <v>REFLECT MYSTIC GREEN</v>
          </cell>
          <cell r="R1148">
            <v>62.099999999999994</v>
          </cell>
          <cell r="S1148">
            <v>31</v>
          </cell>
          <cell r="T1148">
            <v>22.3</v>
          </cell>
          <cell r="U1148">
            <v>415.1</v>
          </cell>
          <cell r="BA1148">
            <v>468.40000000000003</v>
          </cell>
          <cell r="BB1148">
            <v>0</v>
          </cell>
          <cell r="BF1148" t="str">
            <v>Ok</v>
          </cell>
        </row>
        <row r="1149">
          <cell r="B1149" t="str">
            <v>REFLECT NATURE</v>
          </cell>
          <cell r="R1149">
            <v>1083.9000000000001</v>
          </cell>
          <cell r="S1149">
            <v>3169.4</v>
          </cell>
          <cell r="T1149">
            <v>0</v>
          </cell>
          <cell r="U1149">
            <v>0</v>
          </cell>
          <cell r="BA1149">
            <v>5071.3999999999996</v>
          </cell>
          <cell r="BB1149">
            <v>2300</v>
          </cell>
          <cell r="BF1149" t="str">
            <v>Ok</v>
          </cell>
        </row>
        <row r="1150">
          <cell r="B1150" t="str">
            <v>REFLECT PLATINUM</v>
          </cell>
          <cell r="R1150">
            <v>6.75</v>
          </cell>
          <cell r="S1150">
            <v>894.6</v>
          </cell>
          <cell r="T1150">
            <v>8.3000000000000007</v>
          </cell>
          <cell r="U1150">
            <v>56.1</v>
          </cell>
          <cell r="BA1150">
            <v>959</v>
          </cell>
          <cell r="BB1150">
            <v>0</v>
          </cell>
          <cell r="BF1150" t="str">
            <v>Ok</v>
          </cell>
        </row>
        <row r="1151">
          <cell r="B1151" t="str">
            <v>REFLECT SILVER</v>
          </cell>
          <cell r="R1151">
            <v>300.32499999999999</v>
          </cell>
          <cell r="S1151">
            <v>986.8</v>
          </cell>
          <cell r="T1151">
            <v>53.7</v>
          </cell>
          <cell r="U1151">
            <v>15.5</v>
          </cell>
          <cell r="BA1151">
            <v>1056</v>
          </cell>
          <cell r="BB1151">
            <v>450</v>
          </cell>
          <cell r="BF1151" t="str">
            <v>Resurtir</v>
          </cell>
        </row>
        <row r="1152">
          <cell r="B1152" t="str">
            <v>REFLECT SNOW</v>
          </cell>
          <cell r="R1152">
            <v>158.83750000000001</v>
          </cell>
          <cell r="S1152">
            <v>1237.3</v>
          </cell>
          <cell r="T1152">
            <v>78.349999999999994</v>
          </cell>
          <cell r="U1152">
            <v>0</v>
          </cell>
          <cell r="BA1152">
            <v>1315.6499999999999</v>
          </cell>
          <cell r="BB1152">
            <v>250</v>
          </cell>
          <cell r="BF1152" t="str">
            <v>Ok</v>
          </cell>
        </row>
        <row r="1153">
          <cell r="B1153" t="str">
            <v>RHONA BONE</v>
          </cell>
          <cell r="R1153">
            <v>186.61250000000001</v>
          </cell>
          <cell r="S1153">
            <v>683.45</v>
          </cell>
          <cell r="T1153">
            <v>57.45</v>
          </cell>
          <cell r="U1153">
            <v>0</v>
          </cell>
          <cell r="BA1153">
            <v>1333.9</v>
          </cell>
          <cell r="BB1153">
            <v>700</v>
          </cell>
          <cell r="BF1153" t="str">
            <v>Ok</v>
          </cell>
        </row>
        <row r="1154">
          <cell r="B1154" t="str">
            <v>RHONA ECRU</v>
          </cell>
          <cell r="R1154">
            <v>306.86249999999995</v>
          </cell>
          <cell r="S1154">
            <v>558.9</v>
          </cell>
          <cell r="T1154">
            <v>17.600000000000001</v>
          </cell>
          <cell r="U1154">
            <v>0</v>
          </cell>
          <cell r="BA1154">
            <v>1765.5</v>
          </cell>
          <cell r="BB1154">
            <v>300</v>
          </cell>
          <cell r="BF1154" t="str">
            <v>Ok</v>
          </cell>
        </row>
        <row r="1155">
          <cell r="B1155" t="str">
            <v>RHONA IVORY</v>
          </cell>
          <cell r="R1155">
            <v>378.23750000000001</v>
          </cell>
          <cell r="S1155">
            <v>250.3</v>
          </cell>
          <cell r="T1155">
            <v>20.100000000000001</v>
          </cell>
          <cell r="U1155">
            <v>0</v>
          </cell>
          <cell r="BA1155">
            <v>1523.4</v>
          </cell>
          <cell r="BB1155">
            <v>750</v>
          </cell>
          <cell r="BF1155" t="str">
            <v>Resurtir</v>
          </cell>
        </row>
        <row r="1156">
          <cell r="B1156" t="str">
            <v>RHONA SAND</v>
          </cell>
          <cell r="R1156">
            <v>244.38249999999999</v>
          </cell>
          <cell r="S1156">
            <v>109.4</v>
          </cell>
          <cell r="T1156">
            <v>18</v>
          </cell>
          <cell r="U1156">
            <v>0</v>
          </cell>
          <cell r="BA1156">
            <v>760.4</v>
          </cell>
          <cell r="BB1156">
            <v>50</v>
          </cell>
          <cell r="BF1156" t="str">
            <v>Resurtir</v>
          </cell>
        </row>
        <row r="1157">
          <cell r="B1157" t="str">
            <v>RICOCHET FLAX</v>
          </cell>
          <cell r="R1157">
            <v>45.55</v>
          </cell>
          <cell r="S1157">
            <v>73.89</v>
          </cell>
          <cell r="T1157">
            <v>30.1</v>
          </cell>
          <cell r="U1157">
            <v>133.78</v>
          </cell>
          <cell r="BA1157">
            <v>327.77</v>
          </cell>
          <cell r="BB1157">
            <v>200</v>
          </cell>
          <cell r="BF1157" t="str">
            <v>Ok</v>
          </cell>
        </row>
        <row r="1158">
          <cell r="B1158" t="str">
            <v>RICOCHET NATURAL</v>
          </cell>
          <cell r="R1158">
            <v>28.25</v>
          </cell>
          <cell r="S1158">
            <v>137.80000000000001</v>
          </cell>
          <cell r="T1158">
            <v>62.15</v>
          </cell>
          <cell r="U1158">
            <v>92.27</v>
          </cell>
          <cell r="BA1158">
            <v>428.22</v>
          </cell>
          <cell r="BB1158">
            <v>0</v>
          </cell>
          <cell r="BF1158" t="str">
            <v>Ok</v>
          </cell>
        </row>
        <row r="1159">
          <cell r="B1159" t="str">
            <v>RIO ASH</v>
          </cell>
          <cell r="R1159">
            <v>26.25</v>
          </cell>
          <cell r="S1159">
            <v>317.89999999999998</v>
          </cell>
          <cell r="T1159">
            <v>7</v>
          </cell>
          <cell r="U1159">
            <v>0</v>
          </cell>
          <cell r="BA1159">
            <v>324.89999999999998</v>
          </cell>
          <cell r="BB1159">
            <v>100</v>
          </cell>
          <cell r="BF1159" t="str">
            <v>Ok</v>
          </cell>
        </row>
        <row r="1160">
          <cell r="B1160" t="str">
            <v>RIO DRIFTWOOD</v>
          </cell>
          <cell r="R1160">
            <v>80.349999999999994</v>
          </cell>
          <cell r="S1160">
            <v>171.1</v>
          </cell>
          <cell r="T1160">
            <v>35.1</v>
          </cell>
          <cell r="U1160">
            <v>0</v>
          </cell>
          <cell r="BA1160">
            <v>706.2</v>
          </cell>
          <cell r="BB1160">
            <v>150</v>
          </cell>
          <cell r="BF1160" t="str">
            <v>Ok</v>
          </cell>
        </row>
        <row r="1161">
          <cell r="B1161" t="str">
            <v>RIO GRAPHITE</v>
          </cell>
          <cell r="R1161">
            <v>113.6</v>
          </cell>
          <cell r="S1161">
            <v>95.2</v>
          </cell>
          <cell r="T1161">
            <v>16.100000000000001</v>
          </cell>
          <cell r="U1161">
            <v>0</v>
          </cell>
          <cell r="BA1161">
            <v>616.29999999999995</v>
          </cell>
          <cell r="BB1161">
            <v>300</v>
          </cell>
          <cell r="BF1161" t="str">
            <v>Ok</v>
          </cell>
        </row>
        <row r="1162">
          <cell r="B1162" t="str">
            <v>RIO SALT</v>
          </cell>
          <cell r="R1162">
            <v>46.024999999999999</v>
          </cell>
          <cell r="S1162">
            <v>556.5</v>
          </cell>
          <cell r="T1162">
            <v>19.5</v>
          </cell>
          <cell r="U1162">
            <v>0</v>
          </cell>
          <cell r="BA1162">
            <v>576</v>
          </cell>
          <cell r="BB1162">
            <v>0</v>
          </cell>
          <cell r="BF1162" t="str">
            <v>Ok</v>
          </cell>
        </row>
        <row r="1163">
          <cell r="B1163" t="str">
            <v>RIO SPINACH</v>
          </cell>
          <cell r="R1163">
            <v>255.8</v>
          </cell>
          <cell r="S1163">
            <v>20</v>
          </cell>
          <cell r="T1163">
            <v>0</v>
          </cell>
          <cell r="U1163">
            <v>0</v>
          </cell>
          <cell r="BA1163">
            <v>1531</v>
          </cell>
          <cell r="BB1163">
            <v>650</v>
          </cell>
          <cell r="BF1163" t="str">
            <v>Ok</v>
          </cell>
        </row>
        <row r="1164">
          <cell r="B1164" t="str">
            <v>RIVA DOVE</v>
          </cell>
          <cell r="R1164">
            <v>11</v>
          </cell>
          <cell r="S1164">
            <v>152.4</v>
          </cell>
          <cell r="T1164">
            <v>32.950000000000003</v>
          </cell>
          <cell r="U1164">
            <v>316.8</v>
          </cell>
          <cell r="BA1164">
            <v>502.15000000000003</v>
          </cell>
          <cell r="BB1164">
            <v>0</v>
          </cell>
          <cell r="BF1164" t="str">
            <v>Ok</v>
          </cell>
        </row>
        <row r="1165">
          <cell r="B1165" t="str">
            <v>RIVA LINEN</v>
          </cell>
          <cell r="R1165">
            <v>3</v>
          </cell>
          <cell r="S1165">
            <v>586.20000000000005</v>
          </cell>
          <cell r="T1165">
            <v>0</v>
          </cell>
          <cell r="U1165">
            <v>40.799999999999997</v>
          </cell>
          <cell r="BA1165">
            <v>627</v>
          </cell>
          <cell r="BB1165">
            <v>0</v>
          </cell>
          <cell r="BF1165" t="str">
            <v>Ok</v>
          </cell>
        </row>
        <row r="1166">
          <cell r="B1166" t="str">
            <v>RIVA PORCELAIN</v>
          </cell>
          <cell r="R1166">
            <v>43.199999999999996</v>
          </cell>
          <cell r="S1166">
            <v>84.9</v>
          </cell>
          <cell r="T1166">
            <v>0</v>
          </cell>
          <cell r="U1166">
            <v>314</v>
          </cell>
          <cell r="BA1166">
            <v>398.9</v>
          </cell>
          <cell r="BB1166">
            <v>0</v>
          </cell>
          <cell r="BF1166" t="str">
            <v>Ok</v>
          </cell>
        </row>
        <row r="1167">
          <cell r="B1167" t="str">
            <v>ROLO PEARL</v>
          </cell>
          <cell r="R1167">
            <v>0.27500000000000002</v>
          </cell>
          <cell r="S1167">
            <v>228.1</v>
          </cell>
          <cell r="T1167">
            <v>0</v>
          </cell>
          <cell r="U1167">
            <v>0</v>
          </cell>
          <cell r="BA1167">
            <v>228.1</v>
          </cell>
          <cell r="BB1167">
            <v>0</v>
          </cell>
          <cell r="BF1167" t="str">
            <v>Ok</v>
          </cell>
        </row>
        <row r="1168">
          <cell r="B1168" t="str">
            <v>ROLO PORCELAIN</v>
          </cell>
          <cell r="R1168">
            <v>7</v>
          </cell>
          <cell r="S1168">
            <v>323.10000000000002</v>
          </cell>
          <cell r="T1168">
            <v>14.2</v>
          </cell>
          <cell r="U1168">
            <v>0</v>
          </cell>
          <cell r="BA1168">
            <v>337.3</v>
          </cell>
          <cell r="BB1168">
            <v>0</v>
          </cell>
          <cell r="BF1168" t="str">
            <v>Ok</v>
          </cell>
        </row>
        <row r="1169">
          <cell r="B1169" t="str">
            <v>ROLO SAND</v>
          </cell>
          <cell r="R1169">
            <v>0.57499999999999996</v>
          </cell>
          <cell r="S1169">
            <v>70.599999999999994</v>
          </cell>
          <cell r="T1169">
            <v>14.05</v>
          </cell>
          <cell r="U1169">
            <v>0</v>
          </cell>
          <cell r="BA1169">
            <v>84.649999999999991</v>
          </cell>
          <cell r="BB1169">
            <v>0</v>
          </cell>
          <cell r="BF1169" t="str">
            <v>Ok</v>
          </cell>
        </row>
        <row r="1170">
          <cell r="B1170" t="str">
            <v>ROMANI SAND</v>
          </cell>
          <cell r="R1170">
            <v>10.5</v>
          </cell>
          <cell r="S1170">
            <v>22.6</v>
          </cell>
          <cell r="T1170">
            <v>0</v>
          </cell>
          <cell r="U1170">
            <v>0</v>
          </cell>
          <cell r="BA1170">
            <v>122.6</v>
          </cell>
          <cell r="BB1170">
            <v>0</v>
          </cell>
          <cell r="BF1170" t="str">
            <v>Ok</v>
          </cell>
        </row>
        <row r="1171">
          <cell r="B1171" t="str">
            <v>ROMANI SILVER</v>
          </cell>
          <cell r="R1171">
            <v>0</v>
          </cell>
          <cell r="S1171">
            <v>44.7</v>
          </cell>
          <cell r="T1171">
            <v>0</v>
          </cell>
          <cell r="U1171">
            <v>95.7</v>
          </cell>
          <cell r="BA1171">
            <v>140.4</v>
          </cell>
          <cell r="BB1171">
            <v>0</v>
          </cell>
          <cell r="BF1171" t="str">
            <v>Ok</v>
          </cell>
        </row>
        <row r="1172">
          <cell r="B1172" t="str">
            <v>ROMEO BONE</v>
          </cell>
          <cell r="R1172">
            <v>12.9</v>
          </cell>
          <cell r="S1172">
            <v>111.2</v>
          </cell>
          <cell r="T1172">
            <v>0</v>
          </cell>
          <cell r="U1172">
            <v>0</v>
          </cell>
          <cell r="BA1172">
            <v>111.2</v>
          </cell>
          <cell r="BB1172">
            <v>0</v>
          </cell>
          <cell r="BF1172" t="str">
            <v>Ok</v>
          </cell>
        </row>
        <row r="1173">
          <cell r="B1173" t="str">
            <v>ROSLYN CEMENT</v>
          </cell>
          <cell r="R1173">
            <v>18</v>
          </cell>
          <cell r="S1173">
            <v>178.94</v>
          </cell>
          <cell r="T1173">
            <v>0</v>
          </cell>
          <cell r="U1173">
            <v>0</v>
          </cell>
          <cell r="BA1173">
            <v>178.94</v>
          </cell>
          <cell r="BB1173">
            <v>10</v>
          </cell>
          <cell r="BF1173" t="str">
            <v>Ok</v>
          </cell>
        </row>
        <row r="1174">
          <cell r="B1174" t="str">
            <v>ROSLYN CHARCOAL</v>
          </cell>
          <cell r="R1174">
            <v>26</v>
          </cell>
          <cell r="S1174">
            <v>73.66</v>
          </cell>
          <cell r="T1174">
            <v>12.1</v>
          </cell>
          <cell r="U1174">
            <v>0</v>
          </cell>
          <cell r="BA1174">
            <v>185.76</v>
          </cell>
          <cell r="BB1174">
            <v>0</v>
          </cell>
          <cell r="BF1174" t="str">
            <v>Ok</v>
          </cell>
        </row>
        <row r="1175">
          <cell r="B1175" t="str">
            <v>ROSLYN COTTON</v>
          </cell>
          <cell r="R1175">
            <v>47.89</v>
          </cell>
          <cell r="S1175">
            <v>0</v>
          </cell>
          <cell r="T1175">
            <v>0</v>
          </cell>
          <cell r="U1175">
            <v>0</v>
          </cell>
          <cell r="BA1175">
            <v>346</v>
          </cell>
          <cell r="BB1175">
            <v>300</v>
          </cell>
          <cell r="BF1175" t="str">
            <v>Ok</v>
          </cell>
        </row>
        <row r="1176">
          <cell r="B1176" t="str">
            <v>ROSLYN MIDNIGHT</v>
          </cell>
          <cell r="R1176">
            <v>2.7749999999999999</v>
          </cell>
          <cell r="S1176">
            <v>236.37</v>
          </cell>
          <cell r="T1176">
            <v>12.95</v>
          </cell>
          <cell r="U1176">
            <v>0</v>
          </cell>
          <cell r="BA1176">
            <v>249.32</v>
          </cell>
          <cell r="BB1176">
            <v>10</v>
          </cell>
          <cell r="BF1176" t="str">
            <v>Ok</v>
          </cell>
        </row>
        <row r="1177">
          <cell r="B1177" t="str">
            <v>ROSLYN NATURAL</v>
          </cell>
          <cell r="R1177">
            <v>64.242500000000007</v>
          </cell>
          <cell r="S1177">
            <v>0</v>
          </cell>
          <cell r="T1177">
            <v>0</v>
          </cell>
          <cell r="U1177">
            <v>0</v>
          </cell>
          <cell r="BA1177">
            <v>400</v>
          </cell>
          <cell r="BB1177">
            <v>350</v>
          </cell>
          <cell r="BF1177" t="str">
            <v>Ok</v>
          </cell>
        </row>
        <row r="1178">
          <cell r="B1178" t="str">
            <v>RUBAN FIRESTORM</v>
          </cell>
          <cell r="R1178">
            <v>1.45</v>
          </cell>
          <cell r="S1178">
            <v>246.6</v>
          </cell>
          <cell r="T1178">
            <v>23</v>
          </cell>
          <cell r="U1178">
            <v>0</v>
          </cell>
          <cell r="BA1178">
            <v>269.60000000000002</v>
          </cell>
          <cell r="BB1178">
            <v>0</v>
          </cell>
          <cell r="BF1178" t="str">
            <v>Ok</v>
          </cell>
        </row>
        <row r="1179">
          <cell r="B1179" t="str">
            <v>RUBAN SANDSTONE</v>
          </cell>
          <cell r="R1179">
            <v>0</v>
          </cell>
          <cell r="S1179">
            <v>129.9</v>
          </cell>
          <cell r="T1179">
            <v>13.6</v>
          </cell>
          <cell r="U1179">
            <v>0</v>
          </cell>
          <cell r="BA1179">
            <v>143.5</v>
          </cell>
          <cell r="BB1179">
            <v>0</v>
          </cell>
          <cell r="BF1179" t="str">
            <v>Ok</v>
          </cell>
        </row>
        <row r="1180">
          <cell r="B1180" t="str">
            <v>RUMBA GREY</v>
          </cell>
          <cell r="R1180">
            <v>6.25</v>
          </cell>
          <cell r="S1180">
            <v>50.39</v>
          </cell>
          <cell r="T1180">
            <v>16.2</v>
          </cell>
          <cell r="U1180">
            <v>0</v>
          </cell>
          <cell r="BA1180">
            <v>441.59000000000003</v>
          </cell>
          <cell r="BB1180">
            <v>0</v>
          </cell>
          <cell r="BF1180" t="str">
            <v>Ok</v>
          </cell>
        </row>
        <row r="1181">
          <cell r="B1181" t="str">
            <v>RUMBA METAL</v>
          </cell>
          <cell r="R1181">
            <v>32.4</v>
          </cell>
          <cell r="S1181">
            <v>335.13</v>
          </cell>
          <cell r="T1181">
            <v>33.24</v>
          </cell>
          <cell r="U1181">
            <v>0</v>
          </cell>
          <cell r="BA1181">
            <v>613.37</v>
          </cell>
          <cell r="BB1181">
            <v>0</v>
          </cell>
          <cell r="BF1181" t="str">
            <v>Ok</v>
          </cell>
        </row>
        <row r="1182">
          <cell r="B1182" t="str">
            <v>RUMBA NATURAL</v>
          </cell>
          <cell r="R1182">
            <v>238.19999999999996</v>
          </cell>
          <cell r="S1182">
            <v>968.98</v>
          </cell>
          <cell r="T1182">
            <v>40.81</v>
          </cell>
          <cell r="U1182">
            <v>97.29</v>
          </cell>
          <cell r="BA1182">
            <v>1107.08</v>
          </cell>
          <cell r="BB1182">
            <v>100</v>
          </cell>
          <cell r="BF1182" t="str">
            <v>Ok</v>
          </cell>
        </row>
        <row r="1183">
          <cell r="B1183" t="str">
            <v>RUMBA SLATE</v>
          </cell>
          <cell r="R1183">
            <v>37.290000000000006</v>
          </cell>
          <cell r="S1183">
            <v>83.2</v>
          </cell>
          <cell r="T1183">
            <v>9.5500000000000007</v>
          </cell>
          <cell r="U1183">
            <v>140.72</v>
          </cell>
          <cell r="BA1183">
            <v>331.47</v>
          </cell>
          <cell r="BB1183">
            <v>0</v>
          </cell>
          <cell r="BF1183" t="str">
            <v>Ok</v>
          </cell>
        </row>
        <row r="1184">
          <cell r="B1184" t="str">
            <v>RUMBA WHEAT</v>
          </cell>
          <cell r="R1184">
            <v>208.67500000000001</v>
          </cell>
          <cell r="S1184">
            <v>679.95</v>
          </cell>
          <cell r="T1184">
            <v>91.68</v>
          </cell>
          <cell r="U1184">
            <v>679.09</v>
          </cell>
          <cell r="BA1184">
            <v>1450.7200000000003</v>
          </cell>
          <cell r="BB1184">
            <v>0</v>
          </cell>
          <cell r="BF1184" t="str">
            <v>Ok</v>
          </cell>
        </row>
        <row r="1185">
          <cell r="B1185" t="str">
            <v>RUSTY BONE</v>
          </cell>
          <cell r="R1185">
            <v>193.35</v>
          </cell>
          <cell r="S1185">
            <v>183.7</v>
          </cell>
          <cell r="T1185">
            <v>35.450000000000003</v>
          </cell>
          <cell r="U1185">
            <v>668.3</v>
          </cell>
          <cell r="BA1185">
            <v>887.44999999999993</v>
          </cell>
          <cell r="BB1185">
            <v>600</v>
          </cell>
          <cell r="BF1185" t="str">
            <v>Ok</v>
          </cell>
        </row>
        <row r="1186">
          <cell r="B1186" t="str">
            <v>RUSTY DENIM</v>
          </cell>
          <cell r="R1186">
            <v>9.25</v>
          </cell>
          <cell r="S1186">
            <v>346.5</v>
          </cell>
          <cell r="T1186">
            <v>17.5</v>
          </cell>
          <cell r="U1186">
            <v>607.79999999999995</v>
          </cell>
          <cell r="BA1186">
            <v>971.8</v>
          </cell>
          <cell r="BB1186">
            <v>100</v>
          </cell>
          <cell r="BF1186" t="str">
            <v>Ok</v>
          </cell>
        </row>
        <row r="1187">
          <cell r="B1187" t="str">
            <v>RUSTY MARBLE</v>
          </cell>
          <cell r="R1187">
            <v>50.25</v>
          </cell>
          <cell r="S1187">
            <v>1005.9</v>
          </cell>
          <cell r="T1187">
            <v>5</v>
          </cell>
          <cell r="U1187">
            <v>492</v>
          </cell>
          <cell r="BA1187">
            <v>1502.9</v>
          </cell>
          <cell r="BB1187">
            <v>200</v>
          </cell>
          <cell r="BF1187" t="str">
            <v>Ok</v>
          </cell>
        </row>
        <row r="1188">
          <cell r="B1188" t="str">
            <v>RUSTY NATURAL</v>
          </cell>
          <cell r="R1188">
            <v>167.07499999999999</v>
          </cell>
          <cell r="S1188">
            <v>347.6</v>
          </cell>
          <cell r="T1188">
            <v>0</v>
          </cell>
          <cell r="U1188">
            <v>626.29999999999995</v>
          </cell>
          <cell r="BA1188">
            <v>973.9</v>
          </cell>
          <cell r="BB1188">
            <v>450</v>
          </cell>
          <cell r="BF1188" t="str">
            <v>Ok</v>
          </cell>
        </row>
        <row r="1189">
          <cell r="B1189" t="str">
            <v>RUSTY TOFFE</v>
          </cell>
          <cell r="R1189">
            <v>24.875</v>
          </cell>
          <cell r="S1189">
            <v>984.1</v>
          </cell>
          <cell r="T1189">
            <v>0</v>
          </cell>
          <cell r="U1189">
            <v>652.4</v>
          </cell>
          <cell r="BA1189">
            <v>1636.5</v>
          </cell>
          <cell r="BB1189">
            <v>250</v>
          </cell>
          <cell r="BF1189" t="str">
            <v>Ok</v>
          </cell>
        </row>
        <row r="1190">
          <cell r="B1190" t="str">
            <v>RYDER DUNE</v>
          </cell>
          <cell r="R1190">
            <v>0.27500000000000002</v>
          </cell>
          <cell r="S1190">
            <v>59.3</v>
          </cell>
          <cell r="T1190">
            <v>0</v>
          </cell>
          <cell r="U1190">
            <v>166.4</v>
          </cell>
          <cell r="BA1190">
            <v>225.7</v>
          </cell>
          <cell r="BB1190">
            <v>0</v>
          </cell>
          <cell r="BF1190" t="str">
            <v>Ok</v>
          </cell>
        </row>
        <row r="1191">
          <cell r="B1191" t="str">
            <v>RYDER METAL</v>
          </cell>
          <cell r="R1191">
            <v>0</v>
          </cell>
          <cell r="S1191">
            <v>167.5</v>
          </cell>
          <cell r="T1191">
            <v>0</v>
          </cell>
          <cell r="U1191">
            <v>0</v>
          </cell>
          <cell r="BA1191">
            <v>167.5</v>
          </cell>
          <cell r="BB1191">
            <v>0</v>
          </cell>
          <cell r="BF1191" t="str">
            <v>Ok</v>
          </cell>
        </row>
        <row r="1192">
          <cell r="B1192" t="str">
            <v>SABBIA GREY</v>
          </cell>
          <cell r="R1192">
            <v>7</v>
          </cell>
          <cell r="S1192">
            <v>248.4</v>
          </cell>
          <cell r="T1192">
            <v>0</v>
          </cell>
          <cell r="U1192">
            <v>295.7</v>
          </cell>
          <cell r="BA1192">
            <v>544.1</v>
          </cell>
          <cell r="BB1192">
            <v>0</v>
          </cell>
          <cell r="BF1192" t="str">
            <v>Ok</v>
          </cell>
        </row>
        <row r="1193">
          <cell r="B1193" t="str">
            <v>SABBIA PEARL</v>
          </cell>
          <cell r="R1193">
            <v>0</v>
          </cell>
          <cell r="S1193">
            <v>139.85</v>
          </cell>
          <cell r="T1193">
            <v>0</v>
          </cell>
          <cell r="U1193">
            <v>316.39999999999998</v>
          </cell>
          <cell r="BA1193">
            <v>456.25</v>
          </cell>
          <cell r="BB1193">
            <v>0</v>
          </cell>
          <cell r="BF1193" t="str">
            <v>Ok</v>
          </cell>
        </row>
        <row r="1194">
          <cell r="B1194" t="str">
            <v>SAILAWAY CLOVE</v>
          </cell>
          <cell r="R1194">
            <v>1.075</v>
          </cell>
          <cell r="S1194">
            <v>27.2</v>
          </cell>
          <cell r="T1194">
            <v>0</v>
          </cell>
          <cell r="U1194">
            <v>0</v>
          </cell>
          <cell r="BA1194">
            <v>27.2</v>
          </cell>
          <cell r="BB1194">
            <v>0</v>
          </cell>
          <cell r="BF1194" t="str">
            <v>Ok</v>
          </cell>
        </row>
        <row r="1195">
          <cell r="B1195" t="str">
            <v>SAILAWAY NAUTICAL</v>
          </cell>
          <cell r="R1195">
            <v>2.25</v>
          </cell>
          <cell r="S1195">
            <v>76.099999999999994</v>
          </cell>
          <cell r="T1195">
            <v>7.3</v>
          </cell>
          <cell r="U1195">
            <v>0</v>
          </cell>
          <cell r="BA1195">
            <v>83.399999999999991</v>
          </cell>
          <cell r="BB1195">
            <v>0</v>
          </cell>
          <cell r="BF1195" t="str">
            <v>Ok</v>
          </cell>
        </row>
        <row r="1196">
          <cell r="B1196" t="str">
            <v>SAILAWAY SEAMIST</v>
          </cell>
          <cell r="R1196">
            <v>5.25</v>
          </cell>
          <cell r="S1196">
            <v>74.2</v>
          </cell>
          <cell r="T1196">
            <v>5.0999999999999996</v>
          </cell>
          <cell r="U1196">
            <v>0</v>
          </cell>
          <cell r="BA1196">
            <v>79.3</v>
          </cell>
          <cell r="BB1196">
            <v>0</v>
          </cell>
          <cell r="BF1196" t="str">
            <v>Ok</v>
          </cell>
        </row>
        <row r="1197">
          <cell r="B1197" t="str">
            <v>SALVATORE CHARCOAL</v>
          </cell>
          <cell r="R1197">
            <v>0</v>
          </cell>
          <cell r="S1197">
            <v>43.77</v>
          </cell>
          <cell r="T1197">
            <v>0</v>
          </cell>
          <cell r="U1197">
            <v>0</v>
          </cell>
          <cell r="BA1197">
            <v>43.77</v>
          </cell>
          <cell r="BB1197">
            <v>0</v>
          </cell>
          <cell r="BF1197" t="str">
            <v>Ok</v>
          </cell>
        </row>
        <row r="1198">
          <cell r="B1198" t="str">
            <v>SAMBA BONE</v>
          </cell>
          <cell r="R1198">
            <v>0.875</v>
          </cell>
          <cell r="S1198">
            <v>185.6</v>
          </cell>
          <cell r="T1198">
            <v>19.899999999999999</v>
          </cell>
          <cell r="U1198">
            <v>0</v>
          </cell>
          <cell r="BA1198">
            <v>205.5</v>
          </cell>
          <cell r="BB1198">
            <v>0</v>
          </cell>
          <cell r="BF1198" t="str">
            <v>Ok</v>
          </cell>
        </row>
        <row r="1199">
          <cell r="B1199" t="str">
            <v>SAMBA LAKESIDE</v>
          </cell>
          <cell r="R1199">
            <v>0.27500000000000002</v>
          </cell>
          <cell r="S1199">
            <v>233.2</v>
          </cell>
          <cell r="T1199">
            <v>0</v>
          </cell>
          <cell r="U1199">
            <v>0</v>
          </cell>
          <cell r="BA1199">
            <v>233.2</v>
          </cell>
          <cell r="BB1199">
            <v>0</v>
          </cell>
          <cell r="BF1199" t="str">
            <v>Ok</v>
          </cell>
        </row>
        <row r="1200">
          <cell r="B1200" t="str">
            <v>SAMBA PEPPER</v>
          </cell>
          <cell r="R1200">
            <v>0.875</v>
          </cell>
          <cell r="S1200">
            <v>127.4</v>
          </cell>
          <cell r="T1200">
            <v>0</v>
          </cell>
          <cell r="U1200">
            <v>0</v>
          </cell>
          <cell r="BA1200">
            <v>127.4</v>
          </cell>
          <cell r="BB1200">
            <v>0</v>
          </cell>
          <cell r="BF1200" t="str">
            <v>Ok</v>
          </cell>
        </row>
        <row r="1201">
          <cell r="B1201" t="str">
            <v>SAMOA COPPER</v>
          </cell>
          <cell r="R1201">
            <v>1</v>
          </cell>
          <cell r="S1201">
            <v>0</v>
          </cell>
          <cell r="T1201">
            <v>16.75</v>
          </cell>
          <cell r="U1201">
            <v>313</v>
          </cell>
          <cell r="BA1201">
            <v>329.75</v>
          </cell>
          <cell r="BB1201">
            <v>0</v>
          </cell>
          <cell r="BF1201" t="str">
            <v>Ok</v>
          </cell>
        </row>
        <row r="1202">
          <cell r="B1202" t="str">
            <v>SAMOA LAKESIDE</v>
          </cell>
          <cell r="R1202">
            <v>6</v>
          </cell>
          <cell r="S1202">
            <v>51.9</v>
          </cell>
          <cell r="T1202">
            <v>0</v>
          </cell>
          <cell r="U1202">
            <v>204.3</v>
          </cell>
          <cell r="BA1202">
            <v>256.2</v>
          </cell>
          <cell r="BB1202">
            <v>50</v>
          </cell>
          <cell r="BF1202" t="str">
            <v>Ok</v>
          </cell>
        </row>
        <row r="1203">
          <cell r="B1203" t="str">
            <v>SAMOA TREASURE</v>
          </cell>
          <cell r="R1203">
            <v>25.7</v>
          </cell>
          <cell r="S1203">
            <v>53.5</v>
          </cell>
          <cell r="T1203">
            <v>0</v>
          </cell>
          <cell r="U1203">
            <v>309.5</v>
          </cell>
          <cell r="BA1203">
            <v>363</v>
          </cell>
          <cell r="BB1203">
            <v>50</v>
          </cell>
          <cell r="BF1203" t="str">
            <v>Ok</v>
          </cell>
        </row>
        <row r="1204">
          <cell r="B1204" t="str">
            <v>SAN REMO GREY</v>
          </cell>
          <cell r="R1204">
            <v>0</v>
          </cell>
          <cell r="S1204">
            <v>0</v>
          </cell>
          <cell r="T1204">
            <v>37.299999999999997</v>
          </cell>
          <cell r="U1204">
            <v>0</v>
          </cell>
          <cell r="BA1204">
            <v>37.299999999999997</v>
          </cell>
          <cell r="BB1204">
            <v>0</v>
          </cell>
          <cell r="BF1204" t="str">
            <v>Ok</v>
          </cell>
        </row>
        <row r="1205">
          <cell r="B1205" t="str">
            <v>SAN REMO LATTE</v>
          </cell>
          <cell r="R1205">
            <v>14.25</v>
          </cell>
          <cell r="S1205">
            <v>0</v>
          </cell>
          <cell r="T1205">
            <v>34.25</v>
          </cell>
          <cell r="U1205">
            <v>0</v>
          </cell>
          <cell r="BA1205">
            <v>34.25</v>
          </cell>
          <cell r="BB1205">
            <v>0</v>
          </cell>
          <cell r="BF1205" t="str">
            <v>Resurtir</v>
          </cell>
        </row>
        <row r="1206">
          <cell r="B1206" t="str">
            <v>SAN REMO PEARL</v>
          </cell>
          <cell r="R1206">
            <v>15.675000000000001</v>
          </cell>
          <cell r="S1206">
            <v>59.1</v>
          </cell>
          <cell r="T1206">
            <v>38.700000000000003</v>
          </cell>
          <cell r="U1206">
            <v>86.1</v>
          </cell>
          <cell r="BA1206">
            <v>183.9</v>
          </cell>
          <cell r="BB1206">
            <v>150</v>
          </cell>
          <cell r="BF1206" t="str">
            <v>Ok</v>
          </cell>
        </row>
        <row r="1207">
          <cell r="B1207" t="str">
            <v>SAN REMO SAND</v>
          </cell>
          <cell r="R1207">
            <v>20.2</v>
          </cell>
          <cell r="S1207">
            <v>27.2</v>
          </cell>
          <cell r="T1207">
            <v>43.75</v>
          </cell>
          <cell r="U1207">
            <v>0</v>
          </cell>
          <cell r="BA1207">
            <v>70.95</v>
          </cell>
          <cell r="BB1207">
            <v>0</v>
          </cell>
          <cell r="BF1207" t="str">
            <v>Resurtir</v>
          </cell>
        </row>
        <row r="1208">
          <cell r="B1208" t="str">
            <v>SAPPHIRE RS BEIGE</v>
          </cell>
          <cell r="R1208">
            <v>16.75</v>
          </cell>
          <cell r="S1208">
            <v>23.5</v>
          </cell>
          <cell r="T1208">
            <v>7.26</v>
          </cell>
          <cell r="U1208">
            <v>33</v>
          </cell>
          <cell r="BA1208">
            <v>63.76</v>
          </cell>
          <cell r="BB1208">
            <v>10</v>
          </cell>
          <cell r="BF1208" t="str">
            <v>Resurtir</v>
          </cell>
        </row>
        <row r="1209">
          <cell r="B1209" t="str">
            <v>SAPPHIRE RS BLACK</v>
          </cell>
          <cell r="R1209">
            <v>3</v>
          </cell>
          <cell r="S1209">
            <v>59.7</v>
          </cell>
          <cell r="T1209">
            <v>6.7</v>
          </cell>
          <cell r="U1209">
            <v>0</v>
          </cell>
          <cell r="BA1209">
            <v>66.400000000000006</v>
          </cell>
          <cell r="BB1209">
            <v>0</v>
          </cell>
          <cell r="BF1209" t="str">
            <v>Ok</v>
          </cell>
        </row>
        <row r="1210">
          <cell r="B1210" t="str">
            <v>SAPPHIRE RS BLUE</v>
          </cell>
          <cell r="R1210">
            <v>0.25</v>
          </cell>
          <cell r="S1210">
            <v>32.1</v>
          </cell>
          <cell r="T1210">
            <v>7</v>
          </cell>
          <cell r="U1210">
            <v>34.299999999999997</v>
          </cell>
          <cell r="BA1210">
            <v>73.400000000000006</v>
          </cell>
          <cell r="BB1210">
            <v>0</v>
          </cell>
          <cell r="BF1210" t="str">
            <v>Ok</v>
          </cell>
        </row>
        <row r="1211">
          <cell r="B1211" t="str">
            <v>SAPPHIRE RS BONE</v>
          </cell>
          <cell r="R1211">
            <v>9.65</v>
          </cell>
          <cell r="S1211">
            <v>0</v>
          </cell>
          <cell r="T1211">
            <v>0</v>
          </cell>
          <cell r="U1211">
            <v>29.6</v>
          </cell>
          <cell r="BA1211">
            <v>29.6</v>
          </cell>
          <cell r="BB1211">
            <v>10</v>
          </cell>
          <cell r="BF1211" t="str">
            <v>Resurtir</v>
          </cell>
        </row>
        <row r="1212">
          <cell r="B1212" t="str">
            <v>SAPPHIRE RS DEEP GREY</v>
          </cell>
          <cell r="R1212">
            <v>8.3000000000000007</v>
          </cell>
          <cell r="S1212">
            <v>0</v>
          </cell>
          <cell r="T1212">
            <v>52.44</v>
          </cell>
          <cell r="U1212">
            <v>0</v>
          </cell>
          <cell r="BA1212">
            <v>52.44</v>
          </cell>
          <cell r="BB1212">
            <v>0</v>
          </cell>
          <cell r="BF1212" t="str">
            <v>Ok</v>
          </cell>
        </row>
        <row r="1213">
          <cell r="B1213" t="str">
            <v>SAPPHIRE RS GOLD</v>
          </cell>
          <cell r="R1213">
            <v>4.25</v>
          </cell>
          <cell r="S1213">
            <v>212.8</v>
          </cell>
          <cell r="T1213">
            <v>13.9</v>
          </cell>
          <cell r="U1213">
            <v>0</v>
          </cell>
          <cell r="BA1213">
            <v>226.70000000000002</v>
          </cell>
          <cell r="BB1213">
            <v>0</v>
          </cell>
          <cell r="BF1213" t="str">
            <v>Ok</v>
          </cell>
        </row>
        <row r="1214">
          <cell r="B1214" t="str">
            <v>SAPPHIRE RS GREEN</v>
          </cell>
          <cell r="R1214">
            <v>16.5</v>
          </cell>
          <cell r="S1214">
            <v>53.3</v>
          </cell>
          <cell r="T1214">
            <v>10.6</v>
          </cell>
          <cell r="U1214">
            <v>69.099999999999994</v>
          </cell>
          <cell r="BA1214">
            <v>133</v>
          </cell>
          <cell r="BB1214">
            <v>0</v>
          </cell>
          <cell r="BF1214" t="str">
            <v>Ok</v>
          </cell>
        </row>
        <row r="1215">
          <cell r="B1215" t="str">
            <v>SAPPHIRE RS MAGENTA</v>
          </cell>
          <cell r="R1215">
            <v>0</v>
          </cell>
          <cell r="S1215">
            <v>38.5</v>
          </cell>
          <cell r="T1215">
            <v>17.2</v>
          </cell>
          <cell r="U1215">
            <v>0</v>
          </cell>
          <cell r="BA1215">
            <v>55.7</v>
          </cell>
          <cell r="BB1215">
            <v>0</v>
          </cell>
          <cell r="BF1215" t="str">
            <v>Ok</v>
          </cell>
        </row>
        <row r="1216">
          <cell r="B1216" t="str">
            <v>SAPPHIRE RS ORANGE</v>
          </cell>
          <cell r="R1216">
            <v>22.799999999999997</v>
          </cell>
          <cell r="S1216">
            <v>144.25</v>
          </cell>
          <cell r="T1216">
            <v>5.7</v>
          </cell>
          <cell r="U1216">
            <v>30.7</v>
          </cell>
          <cell r="BA1216">
            <v>180.64999999999998</v>
          </cell>
          <cell r="BB1216">
            <v>0</v>
          </cell>
          <cell r="BF1216" t="str">
            <v>Ok</v>
          </cell>
        </row>
        <row r="1217">
          <cell r="B1217" t="str">
            <v>SAPPHIRE RS PERSIMON</v>
          </cell>
          <cell r="R1217">
            <v>3</v>
          </cell>
          <cell r="S1217">
            <v>51.4</v>
          </cell>
          <cell r="T1217">
            <v>7.5</v>
          </cell>
          <cell r="U1217">
            <v>62.2</v>
          </cell>
          <cell r="BA1217">
            <v>121.1</v>
          </cell>
          <cell r="BB1217">
            <v>0</v>
          </cell>
          <cell r="BF1217" t="str">
            <v>Ok</v>
          </cell>
        </row>
        <row r="1218">
          <cell r="B1218" t="str">
            <v>SAPPHIRE RS ROSE QUARTZ</v>
          </cell>
          <cell r="R1218">
            <v>9.25</v>
          </cell>
          <cell r="S1218">
            <v>37.9</v>
          </cell>
          <cell r="T1218">
            <v>28.6</v>
          </cell>
          <cell r="U1218">
            <v>0</v>
          </cell>
          <cell r="BA1218">
            <v>116.5</v>
          </cell>
          <cell r="BB1218">
            <v>0</v>
          </cell>
          <cell r="BF1218" t="str">
            <v>Ok</v>
          </cell>
        </row>
        <row r="1219">
          <cell r="B1219" t="str">
            <v>SAPPHIRE RS SERENITY</v>
          </cell>
          <cell r="R1219">
            <v>6.25</v>
          </cell>
          <cell r="S1219">
            <v>22.7</v>
          </cell>
          <cell r="T1219">
            <v>6.4</v>
          </cell>
          <cell r="U1219">
            <v>34</v>
          </cell>
          <cell r="BA1219">
            <v>63.1</v>
          </cell>
          <cell r="BB1219">
            <v>0</v>
          </cell>
          <cell r="BF1219" t="str">
            <v>Ok</v>
          </cell>
        </row>
        <row r="1220">
          <cell r="B1220" t="str">
            <v>SAPPHIRE RS SILVER GREY</v>
          </cell>
          <cell r="R1220">
            <v>2.5</v>
          </cell>
          <cell r="S1220">
            <v>0</v>
          </cell>
          <cell r="T1220">
            <v>29.5</v>
          </cell>
          <cell r="U1220">
            <v>0</v>
          </cell>
          <cell r="BA1220">
            <v>29.5</v>
          </cell>
          <cell r="BB1220">
            <v>0</v>
          </cell>
          <cell r="BF1220" t="str">
            <v>Ok</v>
          </cell>
        </row>
        <row r="1221">
          <cell r="B1221" t="str">
            <v>SAPPHIRE RS SMOKE</v>
          </cell>
          <cell r="R1221">
            <v>10.65</v>
          </cell>
          <cell r="S1221">
            <v>0</v>
          </cell>
          <cell r="T1221">
            <v>38.299999999999997</v>
          </cell>
          <cell r="U1221">
            <v>0</v>
          </cell>
          <cell r="BA1221">
            <v>88.3</v>
          </cell>
          <cell r="BB1221">
            <v>0</v>
          </cell>
          <cell r="BF1221" t="str">
            <v>Ok</v>
          </cell>
        </row>
        <row r="1222">
          <cell r="B1222" t="str">
            <v>SAPPHIRE RS WINE</v>
          </cell>
          <cell r="R1222">
            <v>14.625</v>
          </cell>
          <cell r="S1222">
            <v>186.8</v>
          </cell>
          <cell r="T1222">
            <v>22.8</v>
          </cell>
          <cell r="U1222">
            <v>0</v>
          </cell>
          <cell r="BA1222">
            <v>209.60000000000002</v>
          </cell>
          <cell r="BB1222">
            <v>150</v>
          </cell>
          <cell r="BF1222" t="str">
            <v>Ok</v>
          </cell>
        </row>
        <row r="1223">
          <cell r="B1223" t="str">
            <v>SARA FLINT GREY</v>
          </cell>
          <cell r="R1223">
            <v>0</v>
          </cell>
          <cell r="S1223">
            <v>252.39</v>
          </cell>
          <cell r="T1223">
            <v>0</v>
          </cell>
          <cell r="U1223">
            <v>0</v>
          </cell>
          <cell r="BA1223">
            <v>252.39</v>
          </cell>
          <cell r="BB1223">
            <v>0</v>
          </cell>
          <cell r="BF1223" t="str">
            <v>Ok</v>
          </cell>
        </row>
        <row r="1224">
          <cell r="B1224" t="str">
            <v>SARA IVORY</v>
          </cell>
          <cell r="R1224">
            <v>5.5</v>
          </cell>
          <cell r="S1224">
            <v>140</v>
          </cell>
          <cell r="T1224">
            <v>24</v>
          </cell>
          <cell r="U1224">
            <v>0</v>
          </cell>
          <cell r="BA1224">
            <v>164</v>
          </cell>
          <cell r="BB1224">
            <v>0</v>
          </cell>
          <cell r="BF1224" t="str">
            <v>Ok</v>
          </cell>
        </row>
        <row r="1225">
          <cell r="B1225" t="str">
            <v>SARA TAN</v>
          </cell>
          <cell r="R1225">
            <v>0</v>
          </cell>
          <cell r="S1225">
            <v>221.45</v>
          </cell>
          <cell r="T1225">
            <v>-6.55</v>
          </cell>
          <cell r="U1225">
            <v>0</v>
          </cell>
          <cell r="BA1225">
            <v>214.89999999999998</v>
          </cell>
          <cell r="BB1225">
            <v>0</v>
          </cell>
          <cell r="BF1225" t="str">
            <v>Ok</v>
          </cell>
        </row>
        <row r="1226">
          <cell r="B1226" t="str">
            <v>SASSARI BONE</v>
          </cell>
          <cell r="R1226">
            <v>0.25</v>
          </cell>
          <cell r="S1226">
            <v>20.55</v>
          </cell>
          <cell r="T1226">
            <v>0</v>
          </cell>
          <cell r="U1226">
            <v>47.7</v>
          </cell>
          <cell r="BA1226">
            <v>68.25</v>
          </cell>
          <cell r="BB1226">
            <v>0</v>
          </cell>
          <cell r="BF1226" t="str">
            <v>Ok</v>
          </cell>
        </row>
        <row r="1227">
          <cell r="B1227" t="str">
            <v>SCAR CHARCOAL</v>
          </cell>
          <cell r="R1227">
            <v>80.125</v>
          </cell>
          <cell r="S1227">
            <v>811</v>
          </cell>
          <cell r="T1227">
            <v>0</v>
          </cell>
          <cell r="U1227">
            <v>0</v>
          </cell>
          <cell r="BA1227">
            <v>811</v>
          </cell>
          <cell r="BB1227">
            <v>100</v>
          </cell>
          <cell r="BF1227" t="str">
            <v>Ok</v>
          </cell>
        </row>
        <row r="1228">
          <cell r="B1228" t="str">
            <v>SCAR CHESTNUT</v>
          </cell>
          <cell r="R1228">
            <v>171.05</v>
          </cell>
          <cell r="S1228">
            <v>1304.9000000000001</v>
          </cell>
          <cell r="T1228">
            <v>16.100000000000001</v>
          </cell>
          <cell r="U1228">
            <v>0</v>
          </cell>
          <cell r="BA1228">
            <v>1321</v>
          </cell>
          <cell r="BB1228">
            <v>50</v>
          </cell>
          <cell r="BF1228" t="str">
            <v>Ok</v>
          </cell>
        </row>
        <row r="1229">
          <cell r="B1229" t="str">
            <v>SCAR ECRU</v>
          </cell>
          <cell r="R1229">
            <v>939.15</v>
          </cell>
          <cell r="S1229">
            <v>131.80000000000001</v>
          </cell>
          <cell r="T1229">
            <v>31.1</v>
          </cell>
          <cell r="U1229">
            <v>0</v>
          </cell>
          <cell r="BA1229">
            <v>1362.9</v>
          </cell>
          <cell r="BB1229">
            <v>2050</v>
          </cell>
          <cell r="BF1229" t="str">
            <v>Resurtir</v>
          </cell>
        </row>
        <row r="1230">
          <cell r="B1230" t="str">
            <v>SCAR PORCELAIN</v>
          </cell>
          <cell r="R1230">
            <v>130.77500000000001</v>
          </cell>
          <cell r="S1230">
            <v>1078.9000000000001</v>
          </cell>
          <cell r="T1230">
            <v>7.5</v>
          </cell>
          <cell r="U1230">
            <v>0</v>
          </cell>
          <cell r="BA1230">
            <v>1086.4000000000001</v>
          </cell>
          <cell r="BB1230">
            <v>0</v>
          </cell>
          <cell r="BF1230" t="str">
            <v>Ok</v>
          </cell>
        </row>
        <row r="1231">
          <cell r="B1231" t="str">
            <v>SCAR PUTTY</v>
          </cell>
          <cell r="R1231">
            <v>902.07500000000005</v>
          </cell>
          <cell r="S1231">
            <v>1590.4</v>
          </cell>
          <cell r="T1231">
            <v>6.4</v>
          </cell>
          <cell r="U1231">
            <v>1350.5</v>
          </cell>
          <cell r="BA1231">
            <v>5947.3</v>
          </cell>
          <cell r="BB1231">
            <v>3100</v>
          </cell>
          <cell r="BF1231" t="str">
            <v>Ok</v>
          </cell>
        </row>
        <row r="1232">
          <cell r="B1232" t="str">
            <v>SCAR SAND</v>
          </cell>
          <cell r="R1232">
            <v>57.3</v>
          </cell>
          <cell r="S1232">
            <v>3012</v>
          </cell>
          <cell r="T1232">
            <v>29.5</v>
          </cell>
          <cell r="U1232">
            <v>1270.0999999999999</v>
          </cell>
          <cell r="BA1232">
            <v>4311.6000000000004</v>
          </cell>
          <cell r="BB1232">
            <v>230</v>
          </cell>
          <cell r="BF1232" t="str">
            <v>Ok</v>
          </cell>
        </row>
        <row r="1233">
          <cell r="B1233" t="str">
            <v>SCAR THUNDER</v>
          </cell>
          <cell r="R1233">
            <v>31.75</v>
          </cell>
          <cell r="S1233">
            <v>740.85</v>
          </cell>
          <cell r="T1233">
            <v>0</v>
          </cell>
          <cell r="U1233">
            <v>989.8</v>
          </cell>
          <cell r="BA1233">
            <v>1730.65</v>
          </cell>
          <cell r="BB1233">
            <v>0</v>
          </cell>
          <cell r="BF1233" t="str">
            <v>Ok</v>
          </cell>
        </row>
        <row r="1234">
          <cell r="B1234" t="str">
            <v>SCOTTSDALE INDIGO</v>
          </cell>
          <cell r="R1234">
            <v>0</v>
          </cell>
          <cell r="S1234">
            <v>29.4</v>
          </cell>
          <cell r="T1234">
            <v>0</v>
          </cell>
          <cell r="U1234">
            <v>0</v>
          </cell>
          <cell r="BA1234">
            <v>183.4</v>
          </cell>
          <cell r="BB1234">
            <v>0</v>
          </cell>
          <cell r="BF1234" t="str">
            <v>Ok</v>
          </cell>
        </row>
        <row r="1235">
          <cell r="B1235" t="str">
            <v>SEADOG AQUA</v>
          </cell>
          <cell r="R1235">
            <v>0.75</v>
          </cell>
          <cell r="S1235">
            <v>78.03</v>
          </cell>
          <cell r="T1235">
            <v>0</v>
          </cell>
          <cell r="U1235">
            <v>0</v>
          </cell>
          <cell r="BA1235">
            <v>78.03</v>
          </cell>
          <cell r="BB1235">
            <v>0</v>
          </cell>
          <cell r="BF1235" t="str">
            <v>Ok</v>
          </cell>
        </row>
        <row r="1236">
          <cell r="B1236" t="str">
            <v>SEADOG BEACHGLASS</v>
          </cell>
          <cell r="R1236">
            <v>15.25</v>
          </cell>
          <cell r="S1236">
            <v>0</v>
          </cell>
          <cell r="T1236">
            <v>29.4</v>
          </cell>
          <cell r="U1236">
            <v>0</v>
          </cell>
          <cell r="BA1236">
            <v>135.4</v>
          </cell>
          <cell r="BB1236">
            <v>0</v>
          </cell>
          <cell r="BF1236" t="str">
            <v>Ok</v>
          </cell>
        </row>
        <row r="1237">
          <cell r="B1237" t="str">
            <v>SEADOG CANYON</v>
          </cell>
          <cell r="R1237">
            <v>1.25</v>
          </cell>
          <cell r="S1237">
            <v>40.590000000000003</v>
          </cell>
          <cell r="T1237">
            <v>0</v>
          </cell>
          <cell r="U1237">
            <v>0</v>
          </cell>
          <cell r="BA1237">
            <v>40.590000000000003</v>
          </cell>
          <cell r="BB1237">
            <v>0</v>
          </cell>
          <cell r="BF1237" t="str">
            <v>Ok</v>
          </cell>
        </row>
        <row r="1238">
          <cell r="B1238" t="str">
            <v>SEADOG CAVIAR</v>
          </cell>
          <cell r="R1238">
            <v>11</v>
          </cell>
          <cell r="S1238">
            <v>0</v>
          </cell>
          <cell r="T1238">
            <v>42.5</v>
          </cell>
          <cell r="U1238">
            <v>316</v>
          </cell>
          <cell r="BA1238">
            <v>358.5</v>
          </cell>
          <cell r="BB1238">
            <v>0</v>
          </cell>
          <cell r="BF1238" t="str">
            <v>Ok</v>
          </cell>
        </row>
        <row r="1239">
          <cell r="B1239" t="str">
            <v>SEADOG LOLLIPOP</v>
          </cell>
          <cell r="R1239">
            <v>0</v>
          </cell>
          <cell r="S1239">
            <v>48.8</v>
          </cell>
          <cell r="T1239">
            <v>5.15</v>
          </cell>
          <cell r="U1239">
            <v>0</v>
          </cell>
          <cell r="BA1239">
            <v>53.949999999999996</v>
          </cell>
          <cell r="BB1239">
            <v>0</v>
          </cell>
          <cell r="BF1239" t="str">
            <v>Ok</v>
          </cell>
        </row>
        <row r="1240">
          <cell r="B1240" t="str">
            <v>SEADOG MIST</v>
          </cell>
          <cell r="R1240">
            <v>11.25</v>
          </cell>
          <cell r="S1240">
            <v>105.3</v>
          </cell>
          <cell r="T1240">
            <v>9.1999999999999993</v>
          </cell>
          <cell r="U1240">
            <v>156.4</v>
          </cell>
          <cell r="BA1240">
            <v>270.89999999999998</v>
          </cell>
          <cell r="BB1240">
            <v>0</v>
          </cell>
          <cell r="BF1240" t="str">
            <v>Ok</v>
          </cell>
        </row>
        <row r="1241">
          <cell r="B1241" t="str">
            <v>SEADOG OYSTER</v>
          </cell>
          <cell r="R1241">
            <v>12.950000000000001</v>
          </cell>
          <cell r="S1241">
            <v>52.9</v>
          </cell>
          <cell r="T1241">
            <v>37.700000000000003</v>
          </cell>
          <cell r="U1241">
            <v>0</v>
          </cell>
          <cell r="BA1241">
            <v>90.6</v>
          </cell>
          <cell r="BB1241">
            <v>0</v>
          </cell>
          <cell r="BF1241" t="str">
            <v>Ok</v>
          </cell>
        </row>
        <row r="1242">
          <cell r="B1242" t="str">
            <v>SEADOG PEARL</v>
          </cell>
          <cell r="R1242">
            <v>6.625</v>
          </cell>
          <cell r="S1242">
            <v>21.1</v>
          </cell>
          <cell r="T1242">
            <v>0</v>
          </cell>
          <cell r="U1242">
            <v>318.7</v>
          </cell>
          <cell r="BA1242">
            <v>339.8</v>
          </cell>
          <cell r="BB1242">
            <v>0</v>
          </cell>
          <cell r="BF1242" t="str">
            <v>Ok</v>
          </cell>
        </row>
        <row r="1243">
          <cell r="B1243" t="str">
            <v>SEAPORT CHARCOAL</v>
          </cell>
          <cell r="R1243">
            <v>68.875</v>
          </cell>
          <cell r="S1243">
            <v>88.18</v>
          </cell>
          <cell r="T1243">
            <v>0</v>
          </cell>
          <cell r="U1243">
            <v>0</v>
          </cell>
          <cell r="BA1243">
            <v>329.18</v>
          </cell>
          <cell r="BB1243">
            <v>340</v>
          </cell>
          <cell r="BF1243" t="str">
            <v>Resurtir</v>
          </cell>
        </row>
        <row r="1244">
          <cell r="B1244" t="str">
            <v>SEAPORT GREY</v>
          </cell>
          <cell r="R1244">
            <v>50.835000000000001</v>
          </cell>
          <cell r="S1244">
            <v>47.91</v>
          </cell>
          <cell r="T1244">
            <v>14.73</v>
          </cell>
          <cell r="U1244">
            <v>0</v>
          </cell>
          <cell r="BA1244">
            <v>310.64</v>
          </cell>
          <cell r="BB1244">
            <v>250</v>
          </cell>
          <cell r="BF1244" t="str">
            <v>Ok</v>
          </cell>
        </row>
        <row r="1245">
          <cell r="B1245" t="str">
            <v>SEAPORT SAIL</v>
          </cell>
          <cell r="R1245">
            <v>14.397500000000001</v>
          </cell>
          <cell r="S1245">
            <v>85.6</v>
          </cell>
          <cell r="T1245">
            <v>0</v>
          </cell>
          <cell r="U1245">
            <v>0</v>
          </cell>
          <cell r="BA1245">
            <v>135.6</v>
          </cell>
          <cell r="BB1245">
            <v>210</v>
          </cell>
          <cell r="BF1245" t="str">
            <v>Resurtir</v>
          </cell>
        </row>
        <row r="1246">
          <cell r="B1246" t="str">
            <v>SECRET DOVE</v>
          </cell>
          <cell r="R1246">
            <v>5.6</v>
          </cell>
          <cell r="S1246">
            <v>693.8</v>
          </cell>
          <cell r="T1246">
            <v>27.6</v>
          </cell>
          <cell r="U1246">
            <v>0</v>
          </cell>
          <cell r="BA1246">
            <v>721.4</v>
          </cell>
          <cell r="BB1246">
            <v>0</v>
          </cell>
          <cell r="BF1246" t="str">
            <v>Ok</v>
          </cell>
        </row>
        <row r="1247">
          <cell r="B1247" t="str">
            <v>SECRET GOLD</v>
          </cell>
          <cell r="R1247">
            <v>9.7750000000000004</v>
          </cell>
          <cell r="S1247">
            <v>355.8</v>
          </cell>
          <cell r="T1247">
            <v>9</v>
          </cell>
          <cell r="U1247">
            <v>0</v>
          </cell>
          <cell r="BA1247">
            <v>364.8</v>
          </cell>
          <cell r="BB1247">
            <v>0</v>
          </cell>
          <cell r="BF1247" t="str">
            <v>Ok</v>
          </cell>
        </row>
        <row r="1248">
          <cell r="B1248" t="str">
            <v>SECRET IRON</v>
          </cell>
          <cell r="R1248">
            <v>27.625</v>
          </cell>
          <cell r="S1248">
            <v>129.6</v>
          </cell>
          <cell r="T1248">
            <v>35.950000000000003</v>
          </cell>
          <cell r="U1248">
            <v>0</v>
          </cell>
          <cell r="BA1248">
            <v>165.55</v>
          </cell>
          <cell r="BB1248">
            <v>0</v>
          </cell>
          <cell r="BF1248" t="str">
            <v>Ok</v>
          </cell>
        </row>
        <row r="1249">
          <cell r="B1249" t="str">
            <v>SECRET NAVY</v>
          </cell>
          <cell r="R1249">
            <v>3.3824999999999998</v>
          </cell>
          <cell r="S1249">
            <v>422.5</v>
          </cell>
          <cell r="T1249">
            <v>0</v>
          </cell>
          <cell r="U1249">
            <v>0</v>
          </cell>
          <cell r="BA1249">
            <v>422.5</v>
          </cell>
          <cell r="BB1249">
            <v>0</v>
          </cell>
          <cell r="BF1249" t="str">
            <v>Ok</v>
          </cell>
        </row>
        <row r="1250">
          <cell r="B1250" t="str">
            <v>SECRET ONYX</v>
          </cell>
          <cell r="R1250">
            <v>2.375</v>
          </cell>
          <cell r="S1250">
            <v>427.3</v>
          </cell>
          <cell r="T1250">
            <v>5.0999999999999996</v>
          </cell>
          <cell r="U1250">
            <v>0</v>
          </cell>
          <cell r="BA1250">
            <v>432.40000000000003</v>
          </cell>
          <cell r="BB1250">
            <v>0</v>
          </cell>
          <cell r="BF1250" t="str">
            <v>Ok</v>
          </cell>
        </row>
        <row r="1251">
          <cell r="B1251" t="str">
            <v>SECRET PINE</v>
          </cell>
          <cell r="R1251">
            <v>34.524999999999999</v>
          </cell>
          <cell r="S1251">
            <v>184.7</v>
          </cell>
          <cell r="T1251">
            <v>25.3</v>
          </cell>
          <cell r="U1251">
            <v>0</v>
          </cell>
          <cell r="BA1251">
            <v>210</v>
          </cell>
          <cell r="BB1251">
            <v>0</v>
          </cell>
          <cell r="BF1251" t="str">
            <v>Ok</v>
          </cell>
        </row>
        <row r="1252">
          <cell r="B1252" t="str">
            <v>SECRET SAND</v>
          </cell>
          <cell r="R1252">
            <v>62.475000000000001</v>
          </cell>
          <cell r="S1252">
            <v>207.3</v>
          </cell>
          <cell r="T1252">
            <v>38.5</v>
          </cell>
          <cell r="U1252">
            <v>0</v>
          </cell>
          <cell r="BA1252">
            <v>745.8</v>
          </cell>
          <cell r="BB1252">
            <v>0</v>
          </cell>
          <cell r="BF1252" t="str">
            <v>Ok</v>
          </cell>
        </row>
        <row r="1253">
          <cell r="B1253" t="str">
            <v>SECRET SILVER</v>
          </cell>
          <cell r="R1253">
            <v>6.5</v>
          </cell>
          <cell r="S1253">
            <v>646.5</v>
          </cell>
          <cell r="T1253">
            <v>34.700000000000003</v>
          </cell>
          <cell r="U1253">
            <v>0</v>
          </cell>
          <cell r="BA1253">
            <v>681.2</v>
          </cell>
          <cell r="BB1253">
            <v>0</v>
          </cell>
          <cell r="BF1253" t="str">
            <v>Ok</v>
          </cell>
        </row>
        <row r="1254">
          <cell r="B1254" t="str">
            <v>SECRET SNOW</v>
          </cell>
          <cell r="R1254">
            <v>43.150000000000006</v>
          </cell>
          <cell r="S1254">
            <v>231.6</v>
          </cell>
          <cell r="T1254">
            <v>49.5</v>
          </cell>
          <cell r="U1254">
            <v>0</v>
          </cell>
          <cell r="BA1254">
            <v>281.10000000000002</v>
          </cell>
          <cell r="BB1254">
            <v>0</v>
          </cell>
          <cell r="BF1254" t="str">
            <v>Ok</v>
          </cell>
        </row>
        <row r="1255">
          <cell r="B1255" t="str">
            <v>SECRET TERRA</v>
          </cell>
          <cell r="R1255">
            <v>50.5</v>
          </cell>
          <cell r="S1255">
            <v>305</v>
          </cell>
          <cell r="T1255">
            <v>23.2</v>
          </cell>
          <cell r="U1255">
            <v>0</v>
          </cell>
          <cell r="BA1255">
            <v>328.2</v>
          </cell>
          <cell r="BB1255">
            <v>0</v>
          </cell>
          <cell r="BF1255" t="str">
            <v>Ok</v>
          </cell>
        </row>
        <row r="1256">
          <cell r="B1256" t="str">
            <v>SECRET WOOD</v>
          </cell>
          <cell r="R1256">
            <v>23.5</v>
          </cell>
          <cell r="S1256">
            <v>148.1</v>
          </cell>
          <cell r="T1256">
            <v>18.3</v>
          </cell>
          <cell r="U1256">
            <v>0</v>
          </cell>
          <cell r="BA1256">
            <v>738.4</v>
          </cell>
          <cell r="BB1256">
            <v>100</v>
          </cell>
          <cell r="BF1256" t="str">
            <v>Ok</v>
          </cell>
        </row>
        <row r="1257">
          <cell r="B1257" t="str">
            <v>SHEEBA SAND</v>
          </cell>
          <cell r="R1257">
            <v>11.772500000000001</v>
          </cell>
          <cell r="S1257">
            <v>0</v>
          </cell>
          <cell r="T1257">
            <v>18</v>
          </cell>
          <cell r="U1257">
            <v>50.75</v>
          </cell>
          <cell r="BA1257">
            <v>68.75</v>
          </cell>
          <cell r="BB1257">
            <v>0</v>
          </cell>
          <cell r="BF1257" t="str">
            <v>Ok</v>
          </cell>
        </row>
        <row r="1258">
          <cell r="B1258" t="str">
            <v>SHEEBA STONE</v>
          </cell>
          <cell r="R1258">
            <v>2.6749999999999998</v>
          </cell>
          <cell r="S1258">
            <v>23.21</v>
          </cell>
          <cell r="T1258">
            <v>10.7</v>
          </cell>
          <cell r="U1258">
            <v>48.92</v>
          </cell>
          <cell r="BA1258">
            <v>82.83</v>
          </cell>
          <cell r="BB1258">
            <v>0</v>
          </cell>
          <cell r="BF1258" t="str">
            <v>Ok</v>
          </cell>
        </row>
        <row r="1259">
          <cell r="B1259" t="str">
            <v>SHETLAND RS BLACK</v>
          </cell>
          <cell r="R1259">
            <v>0</v>
          </cell>
          <cell r="S1259">
            <v>0</v>
          </cell>
          <cell r="T1259">
            <v>13.4</v>
          </cell>
          <cell r="U1259">
            <v>126</v>
          </cell>
          <cell r="BA1259">
            <v>139.4</v>
          </cell>
          <cell r="BB1259">
            <v>0</v>
          </cell>
          <cell r="BF1259" t="str">
            <v>Ok</v>
          </cell>
        </row>
        <row r="1260">
          <cell r="B1260" t="str">
            <v>SHETLAND RS BRICK</v>
          </cell>
          <cell r="R1260">
            <v>2.5</v>
          </cell>
          <cell r="S1260">
            <v>32</v>
          </cell>
          <cell r="T1260">
            <v>14.15</v>
          </cell>
          <cell r="U1260">
            <v>41</v>
          </cell>
          <cell r="BA1260">
            <v>87.15</v>
          </cell>
          <cell r="BB1260">
            <v>0</v>
          </cell>
          <cell r="BF1260" t="str">
            <v>Ok</v>
          </cell>
        </row>
        <row r="1261">
          <cell r="B1261" t="str">
            <v>SHETLAND RS GREY</v>
          </cell>
          <cell r="R1261">
            <v>2.5</v>
          </cell>
          <cell r="S1261">
            <v>77</v>
          </cell>
          <cell r="T1261">
            <v>0</v>
          </cell>
          <cell r="U1261">
            <v>0</v>
          </cell>
          <cell r="BA1261">
            <v>77</v>
          </cell>
          <cell r="BB1261">
            <v>0</v>
          </cell>
          <cell r="BF1261" t="str">
            <v>Ok</v>
          </cell>
        </row>
        <row r="1262">
          <cell r="B1262" t="str">
            <v>SHETLAND RS MIST</v>
          </cell>
          <cell r="R1262">
            <v>0.25</v>
          </cell>
          <cell r="S1262">
            <v>21</v>
          </cell>
          <cell r="T1262">
            <v>12</v>
          </cell>
          <cell r="U1262">
            <v>42</v>
          </cell>
          <cell r="BA1262">
            <v>75</v>
          </cell>
          <cell r="BB1262">
            <v>0</v>
          </cell>
          <cell r="BF1262" t="str">
            <v>Ok</v>
          </cell>
        </row>
        <row r="1263">
          <cell r="B1263" t="str">
            <v>SHETLAND RS MUSTARD</v>
          </cell>
          <cell r="R1263">
            <v>0</v>
          </cell>
          <cell r="S1263">
            <v>49.8</v>
          </cell>
          <cell r="T1263">
            <v>0</v>
          </cell>
          <cell r="U1263">
            <v>42</v>
          </cell>
          <cell r="BA1263">
            <v>91.8</v>
          </cell>
          <cell r="BB1263">
            <v>0</v>
          </cell>
          <cell r="BF1263" t="str">
            <v>Ok</v>
          </cell>
        </row>
        <row r="1264">
          <cell r="B1264" t="str">
            <v>SHETLAND RS NATURAL</v>
          </cell>
          <cell r="R1264">
            <v>21.975000000000001</v>
          </cell>
          <cell r="S1264">
            <v>0</v>
          </cell>
          <cell r="T1264">
            <v>0</v>
          </cell>
          <cell r="U1264">
            <v>0</v>
          </cell>
          <cell r="BA1264">
            <v>182</v>
          </cell>
          <cell r="BB1264">
            <v>0</v>
          </cell>
          <cell r="BF1264" t="str">
            <v>Ok</v>
          </cell>
        </row>
        <row r="1265">
          <cell r="B1265" t="str">
            <v>SHIVER DENIM</v>
          </cell>
          <cell r="R1265">
            <v>0</v>
          </cell>
          <cell r="S1265">
            <v>73.400000000000006</v>
          </cell>
          <cell r="T1265">
            <v>0</v>
          </cell>
          <cell r="U1265">
            <v>0</v>
          </cell>
          <cell r="BA1265">
            <v>73.400000000000006</v>
          </cell>
          <cell r="BB1265">
            <v>0</v>
          </cell>
          <cell r="BF1265" t="str">
            <v>Ok</v>
          </cell>
        </row>
        <row r="1266">
          <cell r="B1266" t="str">
            <v>SHIVER IVORY</v>
          </cell>
          <cell r="R1266">
            <v>4.2249999999999996</v>
          </cell>
          <cell r="S1266">
            <v>21.19</v>
          </cell>
          <cell r="T1266">
            <v>0</v>
          </cell>
          <cell r="U1266">
            <v>138.43</v>
          </cell>
          <cell r="BA1266">
            <v>159.62</v>
          </cell>
          <cell r="BB1266">
            <v>0</v>
          </cell>
          <cell r="BF1266" t="str">
            <v>Ok</v>
          </cell>
        </row>
        <row r="1267">
          <cell r="B1267" t="str">
            <v>SICILIA NICKEL</v>
          </cell>
          <cell r="R1267">
            <v>8.3249999999999993</v>
          </cell>
          <cell r="S1267">
            <v>34.4</v>
          </cell>
          <cell r="T1267">
            <v>19.5</v>
          </cell>
          <cell r="U1267">
            <v>0</v>
          </cell>
          <cell r="BA1267">
            <v>53.9</v>
          </cell>
          <cell r="BB1267">
            <v>0</v>
          </cell>
          <cell r="BF1267" t="str">
            <v>Ok</v>
          </cell>
        </row>
        <row r="1268">
          <cell r="B1268" t="str">
            <v>SIENA BLACK</v>
          </cell>
          <cell r="R1268">
            <v>2.25</v>
          </cell>
          <cell r="S1268">
            <v>63.05</v>
          </cell>
          <cell r="T1268">
            <v>9.6</v>
          </cell>
          <cell r="U1268">
            <v>42.3</v>
          </cell>
          <cell r="BA1268">
            <v>114.94999999999999</v>
          </cell>
          <cell r="BB1268">
            <v>0</v>
          </cell>
          <cell r="BF1268" t="str">
            <v>Ok</v>
          </cell>
        </row>
        <row r="1269">
          <cell r="B1269" t="str">
            <v>SIENA IVORY</v>
          </cell>
          <cell r="R1269">
            <v>51.424999999999997</v>
          </cell>
          <cell r="S1269">
            <v>94.1</v>
          </cell>
          <cell r="T1269">
            <v>5</v>
          </cell>
          <cell r="U1269">
            <v>171.3</v>
          </cell>
          <cell r="BA1269">
            <v>270.39999999999998</v>
          </cell>
          <cell r="BB1269">
            <v>100</v>
          </cell>
          <cell r="BF1269" t="str">
            <v>Ok</v>
          </cell>
        </row>
        <row r="1270">
          <cell r="B1270" t="str">
            <v>SIENA LIGHT GREY</v>
          </cell>
          <cell r="R1270">
            <v>9.5</v>
          </cell>
          <cell r="S1270">
            <v>0</v>
          </cell>
          <cell r="T1270">
            <v>35.549999999999997</v>
          </cell>
          <cell r="U1270">
            <v>0</v>
          </cell>
          <cell r="BA1270">
            <v>77.55</v>
          </cell>
          <cell r="BB1270">
            <v>0</v>
          </cell>
          <cell r="BF1270" t="str">
            <v>Ok</v>
          </cell>
        </row>
        <row r="1271">
          <cell r="B1271" t="str">
            <v>SIENA LINEN</v>
          </cell>
          <cell r="R1271">
            <v>210.11250000000001</v>
          </cell>
          <cell r="S1271">
            <v>166.3</v>
          </cell>
          <cell r="T1271">
            <v>39.799999999999997</v>
          </cell>
          <cell r="U1271">
            <v>200.3</v>
          </cell>
          <cell r="BA1271">
            <v>917.40000000000009</v>
          </cell>
          <cell r="BB1271">
            <v>150</v>
          </cell>
          <cell r="BF1271" t="str">
            <v>Resurtir</v>
          </cell>
        </row>
        <row r="1272">
          <cell r="B1272" t="str">
            <v>SIENA NAVY</v>
          </cell>
          <cell r="R1272">
            <v>5.25</v>
          </cell>
          <cell r="S1272">
            <v>115.6</v>
          </cell>
          <cell r="T1272">
            <v>12.8</v>
          </cell>
          <cell r="U1272">
            <v>0</v>
          </cell>
          <cell r="BA1272">
            <v>128.4</v>
          </cell>
          <cell r="BB1272">
            <v>0</v>
          </cell>
          <cell r="BF1272" t="str">
            <v>Ok</v>
          </cell>
        </row>
        <row r="1273">
          <cell r="B1273" t="str">
            <v>SIENA RED BRICK</v>
          </cell>
          <cell r="R1273">
            <v>33.674999999999997</v>
          </cell>
          <cell r="S1273">
            <v>25.7</v>
          </cell>
          <cell r="T1273">
            <v>6.3</v>
          </cell>
          <cell r="U1273">
            <v>0</v>
          </cell>
          <cell r="BA1273">
            <v>76</v>
          </cell>
          <cell r="BB1273">
            <v>0</v>
          </cell>
          <cell r="BF1273" t="str">
            <v>Resurtir</v>
          </cell>
        </row>
        <row r="1274">
          <cell r="B1274" t="str">
            <v>SIENA ROSE</v>
          </cell>
          <cell r="R1274">
            <v>6.875</v>
          </cell>
          <cell r="S1274">
            <v>78.2</v>
          </cell>
          <cell r="T1274">
            <v>10.3</v>
          </cell>
          <cell r="U1274">
            <v>0</v>
          </cell>
          <cell r="BA1274">
            <v>88.5</v>
          </cell>
          <cell r="BB1274">
            <v>0</v>
          </cell>
          <cell r="BF1274" t="str">
            <v>Ok</v>
          </cell>
        </row>
        <row r="1275">
          <cell r="B1275" t="str">
            <v>SKYBOX GREY</v>
          </cell>
          <cell r="R1275">
            <v>1.375</v>
          </cell>
          <cell r="S1275">
            <v>107.9</v>
          </cell>
          <cell r="T1275">
            <v>18</v>
          </cell>
          <cell r="U1275">
            <v>0</v>
          </cell>
          <cell r="BA1275">
            <v>125.9</v>
          </cell>
          <cell r="BB1275">
            <v>0</v>
          </cell>
          <cell r="BF1275" t="str">
            <v>Ok</v>
          </cell>
        </row>
        <row r="1276">
          <cell r="B1276" t="str">
            <v>SKYLAR SNOW</v>
          </cell>
          <cell r="R1276">
            <v>99.775000000000006</v>
          </cell>
          <cell r="S1276">
            <v>70.5</v>
          </cell>
          <cell r="T1276">
            <v>0</v>
          </cell>
          <cell r="U1276">
            <v>0</v>
          </cell>
          <cell r="BA1276">
            <v>270.5</v>
          </cell>
          <cell r="BB1276">
            <v>100</v>
          </cell>
          <cell r="BF1276" t="str">
            <v>Resurtir</v>
          </cell>
        </row>
        <row r="1277">
          <cell r="B1277" t="str">
            <v>SNOWDON NATURAL</v>
          </cell>
          <cell r="R1277">
            <v>6.25</v>
          </cell>
          <cell r="S1277">
            <v>108.8</v>
          </cell>
          <cell r="T1277">
            <v>0</v>
          </cell>
          <cell r="U1277">
            <v>0</v>
          </cell>
          <cell r="BA1277">
            <v>108.8</v>
          </cell>
          <cell r="BB1277">
            <v>0</v>
          </cell>
          <cell r="BF1277" t="str">
            <v>Ok</v>
          </cell>
        </row>
        <row r="1278">
          <cell r="B1278" t="str">
            <v>SOLID AQUAMARINE</v>
          </cell>
          <cell r="R1278">
            <v>155.15</v>
          </cell>
          <cell r="S1278">
            <v>628.70000000000005</v>
          </cell>
          <cell r="T1278">
            <v>20.8</v>
          </cell>
          <cell r="U1278">
            <v>2489.9</v>
          </cell>
          <cell r="BA1278">
            <v>3139.4</v>
          </cell>
          <cell r="BB1278">
            <v>1650</v>
          </cell>
          <cell r="BF1278" t="str">
            <v>Ok</v>
          </cell>
        </row>
        <row r="1279">
          <cell r="B1279" t="str">
            <v>SOLID BEIGE</v>
          </cell>
          <cell r="R1279">
            <v>1661.3875</v>
          </cell>
          <cell r="S1279">
            <v>76.5</v>
          </cell>
          <cell r="T1279">
            <v>76.3</v>
          </cell>
          <cell r="U1279">
            <v>0</v>
          </cell>
          <cell r="BA1279">
            <v>6544.8</v>
          </cell>
          <cell r="BB1279">
            <v>7880</v>
          </cell>
          <cell r="BF1279" t="str">
            <v>Resurtir</v>
          </cell>
        </row>
        <row r="1280">
          <cell r="B1280" t="str">
            <v>SOLID BONE</v>
          </cell>
          <cell r="R1280">
            <v>509.05</v>
          </cell>
          <cell r="S1280">
            <v>4949.6000000000004</v>
          </cell>
          <cell r="T1280">
            <v>45.5</v>
          </cell>
          <cell r="U1280">
            <v>0</v>
          </cell>
          <cell r="BA1280">
            <v>4995.1000000000004</v>
          </cell>
          <cell r="BB1280">
            <v>5100</v>
          </cell>
          <cell r="BF1280" t="str">
            <v>Resurtir</v>
          </cell>
        </row>
        <row r="1281">
          <cell r="B1281" t="str">
            <v>SOLID EBONY</v>
          </cell>
          <cell r="R1281">
            <v>524.20000000000005</v>
          </cell>
          <cell r="S1281">
            <v>745.3</v>
          </cell>
          <cell r="T1281">
            <v>11.5</v>
          </cell>
          <cell r="U1281">
            <v>635</v>
          </cell>
          <cell r="BA1281">
            <v>2691.8</v>
          </cell>
          <cell r="BB1281">
            <v>4800</v>
          </cell>
          <cell r="BF1281" t="str">
            <v>Resurtir</v>
          </cell>
        </row>
        <row r="1282">
          <cell r="B1282" t="str">
            <v>SOLID IVORY</v>
          </cell>
          <cell r="R1282">
            <v>144.125</v>
          </cell>
          <cell r="S1282">
            <v>1952.5</v>
          </cell>
          <cell r="T1282">
            <v>36.6</v>
          </cell>
          <cell r="U1282">
            <v>1283</v>
          </cell>
          <cell r="BA1282">
            <v>3272.1</v>
          </cell>
          <cell r="BB1282">
            <v>950</v>
          </cell>
          <cell r="BF1282" t="str">
            <v>Ok</v>
          </cell>
        </row>
        <row r="1283">
          <cell r="B1283" t="str">
            <v>SOLID NAVY</v>
          </cell>
          <cell r="R1283">
            <v>541.47500000000002</v>
          </cell>
          <cell r="S1283">
            <v>0</v>
          </cell>
          <cell r="T1283">
            <v>17.899999999999999</v>
          </cell>
          <cell r="U1283">
            <v>0</v>
          </cell>
          <cell r="BA1283">
            <v>2337.9</v>
          </cell>
          <cell r="BB1283">
            <v>1750</v>
          </cell>
          <cell r="BF1283" t="str">
            <v>Resurtir</v>
          </cell>
        </row>
        <row r="1284">
          <cell r="B1284" t="str">
            <v>SOLID OLIVE</v>
          </cell>
          <cell r="R1284">
            <v>1992.4225000000001</v>
          </cell>
          <cell r="S1284">
            <v>1283.5</v>
          </cell>
          <cell r="T1284">
            <v>75</v>
          </cell>
          <cell r="U1284">
            <v>0</v>
          </cell>
          <cell r="BA1284">
            <v>7961.5</v>
          </cell>
          <cell r="BB1284">
            <v>8270</v>
          </cell>
          <cell r="BF1284" t="str">
            <v>Resurtir</v>
          </cell>
        </row>
        <row r="1285">
          <cell r="B1285" t="str">
            <v>SOLID OTTER</v>
          </cell>
          <cell r="R1285">
            <v>1005.8499999999999</v>
          </cell>
          <cell r="S1285">
            <v>204.5</v>
          </cell>
          <cell r="T1285">
            <v>62.6</v>
          </cell>
          <cell r="U1285">
            <v>0</v>
          </cell>
          <cell r="BA1285">
            <v>4196.1000000000004</v>
          </cell>
          <cell r="BB1285">
            <v>5250</v>
          </cell>
          <cell r="BF1285" t="str">
            <v>Resurtir</v>
          </cell>
        </row>
        <row r="1286">
          <cell r="B1286" t="str">
            <v>SOLID ROSE</v>
          </cell>
          <cell r="R1286">
            <v>318.08749999999998</v>
          </cell>
          <cell r="S1286">
            <v>1059.55</v>
          </cell>
          <cell r="T1286">
            <v>11.9</v>
          </cell>
          <cell r="U1286">
            <v>0</v>
          </cell>
          <cell r="BA1286">
            <v>2350.4499999999998</v>
          </cell>
          <cell r="BB1286">
            <v>2730</v>
          </cell>
          <cell r="BF1286" t="str">
            <v>Resurtir</v>
          </cell>
        </row>
        <row r="1287">
          <cell r="B1287" t="str">
            <v>SOLID SILVER</v>
          </cell>
          <cell r="R1287">
            <v>346.25</v>
          </cell>
          <cell r="S1287">
            <v>1088.3</v>
          </cell>
          <cell r="T1287">
            <v>42</v>
          </cell>
          <cell r="U1287">
            <v>1177</v>
          </cell>
          <cell r="BA1287">
            <v>2307.3000000000002</v>
          </cell>
          <cell r="BB1287">
            <v>1700</v>
          </cell>
          <cell r="BF1287" t="str">
            <v>Ok</v>
          </cell>
        </row>
        <row r="1288">
          <cell r="B1288" t="str">
            <v>SOLID SNOW</v>
          </cell>
          <cell r="R1288">
            <v>297.67499999999995</v>
          </cell>
          <cell r="S1288">
            <v>728</v>
          </cell>
          <cell r="T1288">
            <v>26.8</v>
          </cell>
          <cell r="U1288">
            <v>0</v>
          </cell>
          <cell r="BA1288">
            <v>2054.8000000000002</v>
          </cell>
          <cell r="BB1288">
            <v>2300</v>
          </cell>
          <cell r="BF1288" t="str">
            <v>Resurtir</v>
          </cell>
        </row>
        <row r="1289">
          <cell r="B1289" t="str">
            <v>SOLID WOOD</v>
          </cell>
          <cell r="R1289">
            <v>880.94999999999993</v>
          </cell>
          <cell r="S1289">
            <v>187</v>
          </cell>
          <cell r="T1289">
            <v>27</v>
          </cell>
          <cell r="U1289">
            <v>0</v>
          </cell>
          <cell r="BA1289">
            <v>4047</v>
          </cell>
          <cell r="BB1289">
            <v>4950</v>
          </cell>
          <cell r="BF1289" t="str">
            <v>Resurtir</v>
          </cell>
        </row>
        <row r="1290">
          <cell r="B1290" t="str">
            <v>SORELLA PEARL</v>
          </cell>
          <cell r="R1290">
            <v>36.4</v>
          </cell>
          <cell r="S1290">
            <v>89.9</v>
          </cell>
          <cell r="T1290">
            <v>25.5</v>
          </cell>
          <cell r="U1290">
            <v>0</v>
          </cell>
          <cell r="BA1290">
            <v>222.4</v>
          </cell>
          <cell r="BB1290">
            <v>50</v>
          </cell>
          <cell r="BF1290" t="str">
            <v>Ok</v>
          </cell>
        </row>
        <row r="1291">
          <cell r="B1291" t="str">
            <v>SPHINX GLOW</v>
          </cell>
          <cell r="R1291">
            <v>3.4249999999999998</v>
          </cell>
          <cell r="S1291">
            <v>33.5</v>
          </cell>
          <cell r="T1291">
            <v>10.3</v>
          </cell>
          <cell r="U1291">
            <v>0</v>
          </cell>
          <cell r="BA1291">
            <v>43.8</v>
          </cell>
          <cell r="BB1291">
            <v>0</v>
          </cell>
          <cell r="BF1291" t="str">
            <v>Ok</v>
          </cell>
        </row>
        <row r="1292">
          <cell r="B1292" t="str">
            <v>SPIRE CREAM</v>
          </cell>
          <cell r="R1292">
            <v>0.625</v>
          </cell>
          <cell r="S1292">
            <v>0</v>
          </cell>
          <cell r="T1292">
            <v>0</v>
          </cell>
          <cell r="U1292">
            <v>47.64</v>
          </cell>
          <cell r="BA1292">
            <v>47.64</v>
          </cell>
          <cell r="BB1292">
            <v>0</v>
          </cell>
          <cell r="BF1292" t="str">
            <v>Ok</v>
          </cell>
        </row>
        <row r="1293">
          <cell r="B1293" t="str">
            <v>SPIRE NAVY</v>
          </cell>
          <cell r="R1293">
            <v>11.25</v>
          </cell>
          <cell r="S1293">
            <v>0</v>
          </cell>
          <cell r="T1293">
            <v>7.7</v>
          </cell>
          <cell r="U1293">
            <v>0</v>
          </cell>
          <cell r="BA1293">
            <v>7.7</v>
          </cell>
          <cell r="BB1293">
            <v>0</v>
          </cell>
          <cell r="BF1293" t="str">
            <v>Resurtir</v>
          </cell>
        </row>
        <row r="1294">
          <cell r="B1294" t="str">
            <v>SPRITE NATURAL</v>
          </cell>
          <cell r="R1294">
            <v>4.8250000000000002</v>
          </cell>
          <cell r="S1294">
            <v>56.2</v>
          </cell>
          <cell r="T1294">
            <v>16.399999999999999</v>
          </cell>
          <cell r="U1294">
            <v>0</v>
          </cell>
          <cell r="BA1294">
            <v>72.599999999999994</v>
          </cell>
          <cell r="BB1294">
            <v>30</v>
          </cell>
          <cell r="BF1294" t="str">
            <v>Ok</v>
          </cell>
        </row>
        <row r="1295">
          <cell r="B1295" t="str">
            <v>SPRITE WIND</v>
          </cell>
          <cell r="R1295">
            <v>8.0500000000000007</v>
          </cell>
          <cell r="S1295">
            <v>353.7</v>
          </cell>
          <cell r="T1295">
            <v>0</v>
          </cell>
          <cell r="U1295">
            <v>151.69999999999999</v>
          </cell>
          <cell r="BA1295">
            <v>505.4</v>
          </cell>
          <cell r="BB1295">
            <v>30</v>
          </cell>
          <cell r="BF1295" t="str">
            <v>Ok</v>
          </cell>
        </row>
        <row r="1296">
          <cell r="B1296" t="str">
            <v>SPROUT NATURAL</v>
          </cell>
          <cell r="R1296">
            <v>4.5999999999999996</v>
          </cell>
          <cell r="S1296">
            <v>21.7</v>
          </cell>
          <cell r="T1296">
            <v>5.6</v>
          </cell>
          <cell r="U1296">
            <v>201.7</v>
          </cell>
          <cell r="BA1296">
            <v>229</v>
          </cell>
          <cell r="BB1296">
            <v>0</v>
          </cell>
          <cell r="BF1296" t="str">
            <v>Ok</v>
          </cell>
        </row>
        <row r="1297">
          <cell r="B1297" t="str">
            <v>SPROUT WIND</v>
          </cell>
          <cell r="R1297">
            <v>3.75</v>
          </cell>
          <cell r="S1297">
            <v>72.7</v>
          </cell>
          <cell r="T1297">
            <v>6.3</v>
          </cell>
          <cell r="U1297">
            <v>100.4</v>
          </cell>
          <cell r="BA1297">
            <v>179.4</v>
          </cell>
          <cell r="BB1297">
            <v>0</v>
          </cell>
          <cell r="BF1297" t="str">
            <v>Ok</v>
          </cell>
        </row>
        <row r="1298">
          <cell r="B1298" t="str">
            <v>ST CHARLES SMOKEBLUE</v>
          </cell>
          <cell r="R1298">
            <v>0.25</v>
          </cell>
          <cell r="S1298">
            <v>27.43</v>
          </cell>
          <cell r="T1298">
            <v>22.25</v>
          </cell>
          <cell r="U1298">
            <v>0</v>
          </cell>
          <cell r="BA1298">
            <v>49.68</v>
          </cell>
          <cell r="BB1298">
            <v>0</v>
          </cell>
          <cell r="BF1298" t="str">
            <v>Ok</v>
          </cell>
        </row>
        <row r="1299">
          <cell r="B1299" t="str">
            <v>SUGARSHACK BONE</v>
          </cell>
          <cell r="R1299">
            <v>10.175000000000001</v>
          </cell>
          <cell r="S1299">
            <v>50.06</v>
          </cell>
          <cell r="T1299">
            <v>22.95</v>
          </cell>
          <cell r="U1299">
            <v>51.21</v>
          </cell>
          <cell r="BA1299">
            <v>124.22</v>
          </cell>
          <cell r="BB1299">
            <v>0</v>
          </cell>
          <cell r="BF1299" t="str">
            <v>Ok</v>
          </cell>
        </row>
        <row r="1300">
          <cell r="B1300" t="str">
            <v>SUGARSHACK DENIM</v>
          </cell>
          <cell r="R1300">
            <v>0.75</v>
          </cell>
          <cell r="S1300">
            <v>88.71</v>
          </cell>
          <cell r="T1300">
            <v>10.75</v>
          </cell>
          <cell r="U1300">
            <v>50.66</v>
          </cell>
          <cell r="BA1300">
            <v>150.12</v>
          </cell>
          <cell r="BB1300">
            <v>0</v>
          </cell>
          <cell r="BF1300" t="str">
            <v>Ok</v>
          </cell>
        </row>
        <row r="1301">
          <cell r="B1301" t="str">
            <v>SUGARSHACK GRAVEL</v>
          </cell>
          <cell r="R1301">
            <v>7.5</v>
          </cell>
          <cell r="S1301">
            <v>79.680000000000007</v>
          </cell>
          <cell r="T1301">
            <v>20.75</v>
          </cell>
          <cell r="U1301">
            <v>0</v>
          </cell>
          <cell r="BA1301">
            <v>100.43</v>
          </cell>
          <cell r="BB1301">
            <v>0</v>
          </cell>
          <cell r="BF1301" t="str">
            <v>Ok</v>
          </cell>
        </row>
        <row r="1302">
          <cell r="B1302" t="str">
            <v>SUGARSHACK METAL</v>
          </cell>
          <cell r="R1302">
            <v>38.375</v>
          </cell>
          <cell r="S1302">
            <v>32.57</v>
          </cell>
          <cell r="T1302">
            <v>35.549999999999997</v>
          </cell>
          <cell r="U1302">
            <v>0</v>
          </cell>
          <cell r="BA1302">
            <v>118.12</v>
          </cell>
          <cell r="BB1302">
            <v>0</v>
          </cell>
          <cell r="BF1302" t="str">
            <v>Resurtir</v>
          </cell>
        </row>
        <row r="1303">
          <cell r="B1303" t="str">
            <v>SUREFIRE CEMENT</v>
          </cell>
          <cell r="R1303">
            <v>39.645000000000003</v>
          </cell>
          <cell r="S1303">
            <v>0</v>
          </cell>
          <cell r="T1303">
            <v>29.19</v>
          </cell>
          <cell r="U1303">
            <v>0</v>
          </cell>
          <cell r="BA1303">
            <v>279.19</v>
          </cell>
          <cell r="BB1303">
            <v>0</v>
          </cell>
          <cell r="BF1303" t="str">
            <v>Ok</v>
          </cell>
        </row>
        <row r="1304">
          <cell r="B1304" t="str">
            <v>SUREFIRE CHARCOAL</v>
          </cell>
          <cell r="R1304">
            <v>70.775000000000006</v>
          </cell>
          <cell r="S1304">
            <v>21.5</v>
          </cell>
          <cell r="T1304">
            <v>12.43</v>
          </cell>
          <cell r="U1304">
            <v>0</v>
          </cell>
          <cell r="BA1304">
            <v>432.93</v>
          </cell>
          <cell r="BB1304">
            <v>0</v>
          </cell>
          <cell r="BF1304" t="str">
            <v>Ok</v>
          </cell>
        </row>
        <row r="1305">
          <cell r="B1305" t="str">
            <v>SUREFIRE WHITE</v>
          </cell>
          <cell r="R1305">
            <v>38.665000000000006</v>
          </cell>
          <cell r="S1305">
            <v>212.17</v>
          </cell>
          <cell r="T1305">
            <v>21.95</v>
          </cell>
          <cell r="U1305">
            <v>0</v>
          </cell>
          <cell r="BA1305">
            <v>234.11999999999998</v>
          </cell>
          <cell r="BB1305">
            <v>0</v>
          </cell>
          <cell r="BF1305" t="str">
            <v>Ok</v>
          </cell>
        </row>
        <row r="1306">
          <cell r="B1306" t="str">
            <v>SWEETHEART NAVY</v>
          </cell>
          <cell r="R1306">
            <v>0.77500000000000002</v>
          </cell>
          <cell r="S1306">
            <v>45.55</v>
          </cell>
          <cell r="T1306">
            <v>5.6</v>
          </cell>
          <cell r="U1306">
            <v>0</v>
          </cell>
          <cell r="BA1306">
            <v>51.15</v>
          </cell>
          <cell r="BB1306">
            <v>0</v>
          </cell>
          <cell r="BF1306" t="str">
            <v>Ok</v>
          </cell>
        </row>
        <row r="1307">
          <cell r="B1307" t="str">
            <v>SWEETHEART SAND</v>
          </cell>
          <cell r="R1307">
            <v>1.6</v>
          </cell>
          <cell r="S1307">
            <v>23.21</v>
          </cell>
          <cell r="T1307">
            <v>23.98</v>
          </cell>
          <cell r="U1307">
            <v>0</v>
          </cell>
          <cell r="BA1307">
            <v>47.19</v>
          </cell>
          <cell r="BB1307">
            <v>0</v>
          </cell>
          <cell r="BF1307" t="str">
            <v>Ok</v>
          </cell>
        </row>
        <row r="1308">
          <cell r="B1308" t="str">
            <v>SYCAMORE CANYON</v>
          </cell>
          <cell r="R1308">
            <v>23.03</v>
          </cell>
          <cell r="S1308">
            <v>146.68</v>
          </cell>
          <cell r="T1308">
            <v>5</v>
          </cell>
          <cell r="U1308">
            <v>0</v>
          </cell>
          <cell r="BA1308">
            <v>251.68</v>
          </cell>
          <cell r="BB1308">
            <v>150</v>
          </cell>
          <cell r="BF1308" t="str">
            <v>Ok</v>
          </cell>
        </row>
        <row r="1309">
          <cell r="B1309" t="str">
            <v>SYCAMORE DREAM</v>
          </cell>
          <cell r="R1309">
            <v>16.100000000000001</v>
          </cell>
          <cell r="S1309">
            <v>139.9</v>
          </cell>
          <cell r="T1309">
            <v>18.8</v>
          </cell>
          <cell r="U1309">
            <v>0</v>
          </cell>
          <cell r="BA1309">
            <v>258.70000000000005</v>
          </cell>
          <cell r="BB1309">
            <v>140</v>
          </cell>
          <cell r="BF1309" t="str">
            <v>Ok</v>
          </cell>
        </row>
        <row r="1310">
          <cell r="B1310" t="str">
            <v>SYCAMORE WHISPER</v>
          </cell>
          <cell r="R1310">
            <v>16.479999999999997</v>
          </cell>
          <cell r="S1310">
            <v>132.1</v>
          </cell>
          <cell r="T1310">
            <v>28.28</v>
          </cell>
          <cell r="U1310">
            <v>0</v>
          </cell>
          <cell r="BA1310">
            <v>260.38</v>
          </cell>
          <cell r="BB1310">
            <v>110</v>
          </cell>
          <cell r="BF1310" t="str">
            <v>Ok</v>
          </cell>
        </row>
        <row r="1311">
          <cell r="B1311" t="str">
            <v>TALISKER CLAY</v>
          </cell>
          <cell r="R1311">
            <v>70.59</v>
          </cell>
          <cell r="S1311">
            <v>245.4</v>
          </cell>
          <cell r="T1311">
            <v>24</v>
          </cell>
          <cell r="U1311">
            <v>0</v>
          </cell>
          <cell r="BA1311">
            <v>1100.4000000000001</v>
          </cell>
          <cell r="BB1311">
            <v>180</v>
          </cell>
          <cell r="BF1311" t="str">
            <v>Ok</v>
          </cell>
        </row>
        <row r="1312">
          <cell r="B1312" t="str">
            <v>TALISKER CLOUD</v>
          </cell>
          <cell r="R1312">
            <v>83.324999999999989</v>
          </cell>
          <cell r="S1312">
            <v>474.6</v>
          </cell>
          <cell r="T1312">
            <v>10.8</v>
          </cell>
          <cell r="U1312">
            <v>0</v>
          </cell>
          <cell r="BA1312">
            <v>1435.4</v>
          </cell>
          <cell r="BB1312">
            <v>680</v>
          </cell>
          <cell r="BF1312" t="str">
            <v>Ok</v>
          </cell>
        </row>
        <row r="1313">
          <cell r="B1313" t="str">
            <v>TALISKER COTTON</v>
          </cell>
          <cell r="R1313">
            <v>28.6</v>
          </cell>
          <cell r="S1313">
            <v>384</v>
          </cell>
          <cell r="T1313">
            <v>0</v>
          </cell>
          <cell r="U1313">
            <v>0</v>
          </cell>
          <cell r="BA1313">
            <v>642</v>
          </cell>
          <cell r="BB1313">
            <v>0</v>
          </cell>
          <cell r="BF1313" t="str">
            <v>Ok</v>
          </cell>
        </row>
        <row r="1314">
          <cell r="B1314" t="str">
            <v>TALISKER FOSSIL</v>
          </cell>
          <cell r="R1314">
            <v>61.797499999999999</v>
          </cell>
          <cell r="S1314">
            <v>179.75</v>
          </cell>
          <cell r="T1314">
            <v>21.4</v>
          </cell>
          <cell r="U1314">
            <v>0</v>
          </cell>
          <cell r="BA1314">
            <v>1115.1500000000001</v>
          </cell>
          <cell r="BB1314">
            <v>320</v>
          </cell>
          <cell r="BF1314" t="str">
            <v>Ok</v>
          </cell>
        </row>
        <row r="1315">
          <cell r="B1315" t="str">
            <v>TALISKER NICKEL</v>
          </cell>
          <cell r="R1315">
            <v>8.9749999999999996</v>
          </cell>
          <cell r="S1315">
            <v>0</v>
          </cell>
          <cell r="T1315">
            <v>0</v>
          </cell>
          <cell r="U1315">
            <v>570.1</v>
          </cell>
          <cell r="BA1315">
            <v>570.1</v>
          </cell>
          <cell r="BB1315">
            <v>0</v>
          </cell>
          <cell r="BF1315" t="str">
            <v>Ok</v>
          </cell>
        </row>
        <row r="1316">
          <cell r="B1316" t="str">
            <v>TALISKER STEEL</v>
          </cell>
          <cell r="R1316">
            <v>49.3</v>
          </cell>
          <cell r="S1316">
            <v>512.35</v>
          </cell>
          <cell r="T1316">
            <v>7.85</v>
          </cell>
          <cell r="U1316">
            <v>115.8</v>
          </cell>
          <cell r="BA1316">
            <v>1447</v>
          </cell>
          <cell r="BB1316">
            <v>180</v>
          </cell>
          <cell r="BF1316" t="str">
            <v>Ok</v>
          </cell>
        </row>
        <row r="1317">
          <cell r="B1317" t="str">
            <v>TALISKER TAUPE</v>
          </cell>
          <cell r="R1317">
            <v>61.575000000000003</v>
          </cell>
          <cell r="S1317">
            <v>276.60000000000002</v>
          </cell>
          <cell r="T1317">
            <v>5.15</v>
          </cell>
          <cell r="U1317">
            <v>322</v>
          </cell>
          <cell r="BA1317">
            <v>1074.75</v>
          </cell>
          <cell r="BB1317">
            <v>265</v>
          </cell>
          <cell r="BF1317" t="str">
            <v>Ok</v>
          </cell>
        </row>
        <row r="1318">
          <cell r="B1318" t="str">
            <v>TARA CINNAMON</v>
          </cell>
          <cell r="R1318">
            <v>4.375</v>
          </cell>
          <cell r="S1318">
            <v>434.9</v>
          </cell>
          <cell r="T1318">
            <v>23.15</v>
          </cell>
          <cell r="U1318">
            <v>0</v>
          </cell>
          <cell r="BA1318">
            <v>458.04999999999995</v>
          </cell>
          <cell r="BB1318">
            <v>0</v>
          </cell>
          <cell r="BF1318" t="str">
            <v>Ok</v>
          </cell>
        </row>
        <row r="1319">
          <cell r="B1319" t="str">
            <v>TARA CYAN</v>
          </cell>
          <cell r="R1319">
            <v>11.125</v>
          </cell>
          <cell r="S1319">
            <v>72.3</v>
          </cell>
          <cell r="T1319">
            <v>0</v>
          </cell>
          <cell r="U1319">
            <v>0</v>
          </cell>
          <cell r="BA1319">
            <v>72.3</v>
          </cell>
          <cell r="BB1319">
            <v>0</v>
          </cell>
          <cell r="BF1319" t="str">
            <v>Ok</v>
          </cell>
        </row>
        <row r="1320">
          <cell r="B1320" t="str">
            <v>TARA DOVE</v>
          </cell>
          <cell r="R1320">
            <v>10.5</v>
          </cell>
          <cell r="S1320">
            <v>344.8</v>
          </cell>
          <cell r="T1320">
            <v>35.799999999999997</v>
          </cell>
          <cell r="U1320">
            <v>0</v>
          </cell>
          <cell r="BA1320">
            <v>380.6</v>
          </cell>
          <cell r="BB1320">
            <v>0</v>
          </cell>
          <cell r="BF1320" t="str">
            <v>Ok</v>
          </cell>
        </row>
        <row r="1321">
          <cell r="B1321" t="str">
            <v>TARA EBONY</v>
          </cell>
          <cell r="R1321">
            <v>17.25</v>
          </cell>
          <cell r="S1321">
            <v>392.4</v>
          </cell>
          <cell r="T1321">
            <v>37.700000000000003</v>
          </cell>
          <cell r="U1321">
            <v>0</v>
          </cell>
          <cell r="BA1321">
            <v>430.09999999999997</v>
          </cell>
          <cell r="BB1321">
            <v>75</v>
          </cell>
          <cell r="BF1321" t="str">
            <v>Ok</v>
          </cell>
        </row>
        <row r="1322">
          <cell r="B1322" t="str">
            <v>TARA ELEPHANT</v>
          </cell>
          <cell r="R1322">
            <v>29.25</v>
          </cell>
          <cell r="S1322">
            <v>307.89999999999998</v>
          </cell>
          <cell r="T1322">
            <v>28.7</v>
          </cell>
          <cell r="U1322">
            <v>0</v>
          </cell>
          <cell r="BA1322">
            <v>336.59999999999997</v>
          </cell>
          <cell r="BB1322">
            <v>105</v>
          </cell>
          <cell r="BF1322" t="str">
            <v>Ok</v>
          </cell>
        </row>
        <row r="1323">
          <cell r="B1323" t="str">
            <v>TARA GOLDEN</v>
          </cell>
          <cell r="R1323">
            <v>178.77500000000001</v>
          </cell>
          <cell r="S1323">
            <v>83.6</v>
          </cell>
          <cell r="T1323">
            <v>19.7</v>
          </cell>
          <cell r="U1323">
            <v>0</v>
          </cell>
          <cell r="BA1323">
            <v>1037.3</v>
          </cell>
          <cell r="BB1323">
            <v>0</v>
          </cell>
          <cell r="BF1323" t="str">
            <v>Ok</v>
          </cell>
        </row>
        <row r="1324">
          <cell r="B1324" t="str">
            <v>TARA OLIVE</v>
          </cell>
          <cell r="R1324">
            <v>34.625</v>
          </cell>
          <cell r="S1324">
            <v>397.8</v>
          </cell>
          <cell r="T1324">
            <v>7.3</v>
          </cell>
          <cell r="U1324">
            <v>0</v>
          </cell>
          <cell r="BA1324">
            <v>405.1</v>
          </cell>
          <cell r="BB1324">
            <v>0</v>
          </cell>
          <cell r="BF1324" t="str">
            <v>Ok</v>
          </cell>
        </row>
        <row r="1325">
          <cell r="B1325" t="str">
            <v>TARA SAND</v>
          </cell>
          <cell r="R1325">
            <v>40.875</v>
          </cell>
          <cell r="S1325">
            <v>0</v>
          </cell>
          <cell r="T1325">
            <v>62.45</v>
          </cell>
          <cell r="U1325">
            <v>0</v>
          </cell>
          <cell r="BA1325">
            <v>397.45</v>
          </cell>
          <cell r="BB1325">
            <v>0</v>
          </cell>
          <cell r="BF1325" t="str">
            <v>Ok</v>
          </cell>
        </row>
        <row r="1326">
          <cell r="B1326" t="str">
            <v>TARA SESAME</v>
          </cell>
          <cell r="R1326">
            <v>29.524999999999999</v>
          </cell>
          <cell r="S1326">
            <v>679.9</v>
          </cell>
          <cell r="T1326">
            <v>22.9</v>
          </cell>
          <cell r="U1326">
            <v>0</v>
          </cell>
          <cell r="BA1326">
            <v>702.8</v>
          </cell>
          <cell r="BB1326">
            <v>30</v>
          </cell>
          <cell r="BF1326" t="str">
            <v>Ok</v>
          </cell>
        </row>
        <row r="1327">
          <cell r="B1327" t="str">
            <v>TARA SNOW</v>
          </cell>
          <cell r="R1327">
            <v>17</v>
          </cell>
          <cell r="S1327">
            <v>367.2</v>
          </cell>
          <cell r="T1327">
            <v>35.6</v>
          </cell>
          <cell r="U1327">
            <v>0</v>
          </cell>
          <cell r="BA1327">
            <v>402.8</v>
          </cell>
          <cell r="BB1327">
            <v>85</v>
          </cell>
          <cell r="BF1327" t="str">
            <v>Ok</v>
          </cell>
        </row>
        <row r="1328">
          <cell r="B1328" t="str">
            <v>TARA STEEL</v>
          </cell>
          <cell r="R1328">
            <v>22.875</v>
          </cell>
          <cell r="S1328">
            <v>478.3</v>
          </cell>
          <cell r="T1328">
            <v>37.700000000000003</v>
          </cell>
          <cell r="U1328">
            <v>0</v>
          </cell>
          <cell r="BA1328">
            <v>516</v>
          </cell>
          <cell r="BB1328">
            <v>0</v>
          </cell>
          <cell r="BF1328" t="str">
            <v>Ok</v>
          </cell>
        </row>
        <row r="1329">
          <cell r="B1329" t="str">
            <v>TARA WOOD</v>
          </cell>
          <cell r="R1329">
            <v>21.7</v>
          </cell>
          <cell r="S1329">
            <v>597.29999999999995</v>
          </cell>
          <cell r="T1329">
            <v>16.2</v>
          </cell>
          <cell r="U1329">
            <v>0</v>
          </cell>
          <cell r="BA1329">
            <v>613.5</v>
          </cell>
          <cell r="BB1329">
            <v>0</v>
          </cell>
          <cell r="BF1329" t="str">
            <v>Ok</v>
          </cell>
        </row>
        <row r="1330">
          <cell r="B1330" t="str">
            <v>TESSA DOVE</v>
          </cell>
          <cell r="R1330">
            <v>47.3</v>
          </cell>
          <cell r="S1330">
            <v>217.8</v>
          </cell>
          <cell r="T1330">
            <v>7.4</v>
          </cell>
          <cell r="U1330">
            <v>1096.5</v>
          </cell>
          <cell r="BA1330">
            <v>1321.7</v>
          </cell>
          <cell r="BB1330">
            <v>0</v>
          </cell>
          <cell r="BF1330" t="str">
            <v>Ok</v>
          </cell>
        </row>
        <row r="1331">
          <cell r="B1331" t="str">
            <v>TESSA EBONY</v>
          </cell>
          <cell r="R1331">
            <v>224.89999999999998</v>
          </cell>
          <cell r="S1331">
            <v>218.5</v>
          </cell>
          <cell r="T1331">
            <v>5.0999999999999996</v>
          </cell>
          <cell r="U1331">
            <v>0</v>
          </cell>
          <cell r="BA1331">
            <v>1082.5999999999999</v>
          </cell>
          <cell r="BB1331">
            <v>150</v>
          </cell>
          <cell r="BF1331" t="str">
            <v>Ok</v>
          </cell>
        </row>
        <row r="1332">
          <cell r="B1332" t="str">
            <v>TESSA IVORY</v>
          </cell>
          <cell r="R1332">
            <v>563.02499999999998</v>
          </cell>
          <cell r="S1332">
            <v>161.19999999999999</v>
          </cell>
          <cell r="T1332">
            <v>46.3</v>
          </cell>
          <cell r="U1332">
            <v>0</v>
          </cell>
          <cell r="BA1332">
            <v>2300.5</v>
          </cell>
          <cell r="BB1332">
            <v>400</v>
          </cell>
          <cell r="BF1332" t="str">
            <v>Resurtir</v>
          </cell>
        </row>
        <row r="1333">
          <cell r="B1333" t="str">
            <v>TESSA KHAKI</v>
          </cell>
          <cell r="R1333">
            <v>200.55</v>
          </cell>
          <cell r="S1333">
            <v>589.20000000000005</v>
          </cell>
          <cell r="T1333">
            <v>34.700000000000003</v>
          </cell>
          <cell r="U1333">
            <v>0</v>
          </cell>
          <cell r="BA1333">
            <v>623.90000000000009</v>
          </cell>
          <cell r="BB1333">
            <v>350</v>
          </cell>
          <cell r="BF1333" t="str">
            <v>Resurtir</v>
          </cell>
        </row>
        <row r="1334">
          <cell r="B1334" t="str">
            <v>TESSA MIDNIGHT</v>
          </cell>
          <cell r="R1334">
            <v>104.7</v>
          </cell>
          <cell r="S1334">
            <v>676.7</v>
          </cell>
          <cell r="T1334">
            <v>26.7</v>
          </cell>
          <cell r="U1334">
            <v>0</v>
          </cell>
          <cell r="BA1334">
            <v>703.40000000000009</v>
          </cell>
          <cell r="BB1334">
            <v>0</v>
          </cell>
          <cell r="BF1334" t="str">
            <v>Ok</v>
          </cell>
        </row>
        <row r="1335">
          <cell r="B1335" t="str">
            <v>TESSA OYSTER</v>
          </cell>
          <cell r="R1335">
            <v>72.399999999999991</v>
          </cell>
          <cell r="S1335">
            <v>1010.2</v>
          </cell>
          <cell r="T1335">
            <v>19.5</v>
          </cell>
          <cell r="U1335">
            <v>0</v>
          </cell>
          <cell r="BA1335">
            <v>1029.7</v>
          </cell>
          <cell r="BB1335">
            <v>100</v>
          </cell>
          <cell r="BF1335" t="str">
            <v>Ok</v>
          </cell>
        </row>
        <row r="1336">
          <cell r="B1336" t="str">
            <v>TESSA SHADOW</v>
          </cell>
          <cell r="R1336">
            <v>47.475000000000001</v>
          </cell>
          <cell r="S1336">
            <v>313.39999999999998</v>
          </cell>
          <cell r="T1336">
            <v>0</v>
          </cell>
          <cell r="U1336">
            <v>1099.7</v>
          </cell>
          <cell r="BA1336">
            <v>1413.1</v>
          </cell>
          <cell r="BB1336">
            <v>0</v>
          </cell>
          <cell r="BF1336" t="str">
            <v>Ok</v>
          </cell>
        </row>
        <row r="1337">
          <cell r="B1337" t="str">
            <v>TESSA VANILLA</v>
          </cell>
          <cell r="R1337">
            <v>306.22500000000002</v>
          </cell>
          <cell r="S1337">
            <v>1476.2</v>
          </cell>
          <cell r="T1337">
            <v>56.9</v>
          </cell>
          <cell r="U1337">
            <v>0</v>
          </cell>
          <cell r="BA1337">
            <v>2564.1000000000004</v>
          </cell>
          <cell r="BB1337">
            <v>1360</v>
          </cell>
          <cell r="BF1337" t="str">
            <v>Ok</v>
          </cell>
        </row>
        <row r="1338">
          <cell r="B1338" t="str">
            <v>TIMBALES LINEN</v>
          </cell>
          <cell r="R1338">
            <v>6.375</v>
          </cell>
          <cell r="S1338">
            <v>47.8</v>
          </cell>
          <cell r="T1338">
            <v>11.2</v>
          </cell>
          <cell r="U1338">
            <v>0</v>
          </cell>
          <cell r="BA1338">
            <v>59</v>
          </cell>
          <cell r="BB1338">
            <v>0</v>
          </cell>
          <cell r="BF1338" t="str">
            <v>Ok</v>
          </cell>
        </row>
        <row r="1339">
          <cell r="B1339" t="str">
            <v>TIMBALES SPICE</v>
          </cell>
          <cell r="R1339">
            <v>0</v>
          </cell>
          <cell r="S1339">
            <v>183.8</v>
          </cell>
          <cell r="T1339">
            <v>13.6</v>
          </cell>
          <cell r="U1339">
            <v>26.2</v>
          </cell>
          <cell r="BA1339">
            <v>223.6</v>
          </cell>
          <cell r="BB1339">
            <v>0</v>
          </cell>
          <cell r="BF1339" t="str">
            <v>Ok</v>
          </cell>
        </row>
        <row r="1340">
          <cell r="B1340" t="str">
            <v>TITUS CHALK</v>
          </cell>
          <cell r="R1340">
            <v>185.97499999999999</v>
          </cell>
          <cell r="S1340">
            <v>630.6</v>
          </cell>
          <cell r="T1340">
            <v>56.5</v>
          </cell>
          <cell r="U1340">
            <v>0</v>
          </cell>
          <cell r="BA1340">
            <v>987.1</v>
          </cell>
          <cell r="BB1340">
            <v>300</v>
          </cell>
          <cell r="BF1340" t="str">
            <v>Ok</v>
          </cell>
        </row>
        <row r="1341">
          <cell r="B1341" t="str">
            <v>TITUS PEARL</v>
          </cell>
          <cell r="R1341">
            <v>64.900000000000006</v>
          </cell>
          <cell r="S1341">
            <v>509.5</v>
          </cell>
          <cell r="T1341">
            <v>36.5</v>
          </cell>
          <cell r="U1341">
            <v>0</v>
          </cell>
          <cell r="BA1341">
            <v>546</v>
          </cell>
          <cell r="BB1341">
            <v>0</v>
          </cell>
          <cell r="BF1341" t="str">
            <v>Ok</v>
          </cell>
        </row>
        <row r="1342">
          <cell r="B1342" t="str">
            <v>TNT DARKBLUE</v>
          </cell>
          <cell r="R1342">
            <v>23.175000000000001</v>
          </cell>
          <cell r="S1342">
            <v>48.37</v>
          </cell>
          <cell r="T1342">
            <v>9.34</v>
          </cell>
          <cell r="U1342">
            <v>49.01</v>
          </cell>
          <cell r="BA1342">
            <v>106.72</v>
          </cell>
          <cell r="BB1342">
            <v>0</v>
          </cell>
          <cell r="BF1342" t="str">
            <v>Ok</v>
          </cell>
        </row>
        <row r="1343">
          <cell r="B1343" t="str">
            <v>TNT LATTE</v>
          </cell>
          <cell r="R1343">
            <v>386.45499999999998</v>
          </cell>
          <cell r="S1343">
            <v>0</v>
          </cell>
          <cell r="T1343">
            <v>10.99</v>
          </cell>
          <cell r="U1343">
            <v>0</v>
          </cell>
          <cell r="BA1343">
            <v>1126.99</v>
          </cell>
          <cell r="BB1343">
            <v>250</v>
          </cell>
          <cell r="BF1343" t="str">
            <v>Resurtir</v>
          </cell>
        </row>
        <row r="1344">
          <cell r="B1344" t="str">
            <v>TOBY COTTON</v>
          </cell>
          <cell r="R1344">
            <v>1.5</v>
          </cell>
          <cell r="S1344">
            <v>196.3</v>
          </cell>
          <cell r="T1344">
            <v>19.149999999999999</v>
          </cell>
          <cell r="U1344">
            <v>0</v>
          </cell>
          <cell r="BA1344">
            <v>215.45000000000002</v>
          </cell>
          <cell r="BB1344">
            <v>0</v>
          </cell>
          <cell r="BF1344" t="str">
            <v>Ok</v>
          </cell>
        </row>
        <row r="1345">
          <cell r="B1345" t="str">
            <v>TOBY FOSSIL</v>
          </cell>
          <cell r="R1345">
            <v>11.4</v>
          </cell>
          <cell r="S1345">
            <v>563.4</v>
          </cell>
          <cell r="T1345">
            <v>15.3</v>
          </cell>
          <cell r="U1345">
            <v>0</v>
          </cell>
          <cell r="BA1345">
            <v>578.69999999999993</v>
          </cell>
          <cell r="BB1345">
            <v>0</v>
          </cell>
          <cell r="BF1345" t="str">
            <v>Ok</v>
          </cell>
        </row>
        <row r="1346">
          <cell r="B1346" t="str">
            <v>TOBY MARBLE</v>
          </cell>
          <cell r="R1346">
            <v>3.5</v>
          </cell>
          <cell r="S1346">
            <v>826.5</v>
          </cell>
          <cell r="T1346">
            <v>19.16</v>
          </cell>
          <cell r="U1346">
            <v>895.4</v>
          </cell>
          <cell r="BA1346">
            <v>1741.06</v>
          </cell>
          <cell r="BB1346">
            <v>0</v>
          </cell>
          <cell r="BF1346" t="str">
            <v>Ok</v>
          </cell>
        </row>
        <row r="1347">
          <cell r="B1347" t="str">
            <v>TOBY NATURE</v>
          </cell>
          <cell r="R1347">
            <v>0</v>
          </cell>
          <cell r="S1347">
            <v>35</v>
          </cell>
          <cell r="T1347">
            <v>0</v>
          </cell>
          <cell r="U1347">
            <v>825.2</v>
          </cell>
          <cell r="BA1347">
            <v>860.2</v>
          </cell>
          <cell r="BB1347">
            <v>0</v>
          </cell>
          <cell r="BF1347" t="str">
            <v>Ok</v>
          </cell>
        </row>
        <row r="1348">
          <cell r="B1348" t="str">
            <v>TOBY PORCELAIN</v>
          </cell>
          <cell r="R1348">
            <v>69.625</v>
          </cell>
          <cell r="S1348">
            <v>0</v>
          </cell>
          <cell r="T1348">
            <v>42.17</v>
          </cell>
          <cell r="U1348">
            <v>0</v>
          </cell>
          <cell r="BA1348">
            <v>344.17</v>
          </cell>
          <cell r="BB1348">
            <v>150</v>
          </cell>
          <cell r="BF1348" t="str">
            <v>Ok</v>
          </cell>
        </row>
        <row r="1349">
          <cell r="B1349" t="str">
            <v>TOBY SABLE</v>
          </cell>
          <cell r="R1349">
            <v>5.75</v>
          </cell>
          <cell r="S1349">
            <v>23</v>
          </cell>
          <cell r="T1349">
            <v>13.6</v>
          </cell>
          <cell r="U1349">
            <v>315.7</v>
          </cell>
          <cell r="BA1349">
            <v>352.3</v>
          </cell>
          <cell r="BB1349">
            <v>0</v>
          </cell>
          <cell r="BF1349" t="str">
            <v>Ok</v>
          </cell>
        </row>
        <row r="1350">
          <cell r="B1350" t="str">
            <v>TOBY TWINE</v>
          </cell>
          <cell r="R1350">
            <v>6.375</v>
          </cell>
          <cell r="S1350">
            <v>325.89999999999998</v>
          </cell>
          <cell r="T1350">
            <v>23.33</v>
          </cell>
          <cell r="U1350">
            <v>0</v>
          </cell>
          <cell r="BA1350">
            <v>349.22999999999996</v>
          </cell>
          <cell r="BB1350">
            <v>0</v>
          </cell>
          <cell r="BF1350" t="str">
            <v>Ok</v>
          </cell>
        </row>
        <row r="1351">
          <cell r="B1351" t="str">
            <v>TOPAZ BLACK-K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BA1351">
            <v>0</v>
          </cell>
          <cell r="BB1351">
            <v>0</v>
          </cell>
          <cell r="BF1351" t="str">
            <v>Resurtir</v>
          </cell>
        </row>
        <row r="1352">
          <cell r="B1352" t="str">
            <v>TOPAZ BURLAP-K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BA1352">
            <v>0</v>
          </cell>
          <cell r="BB1352">
            <v>0</v>
          </cell>
          <cell r="BF1352" t="str">
            <v>Resurtir</v>
          </cell>
        </row>
        <row r="1353">
          <cell r="B1353" t="str">
            <v>TOPAZ IRON-K</v>
          </cell>
          <cell r="R1353">
            <v>2.25</v>
          </cell>
          <cell r="S1353">
            <v>413.8</v>
          </cell>
          <cell r="T1353">
            <v>14.4</v>
          </cell>
          <cell r="U1353">
            <v>0</v>
          </cell>
          <cell r="BA1353">
            <v>428.2</v>
          </cell>
          <cell r="BB1353">
            <v>0</v>
          </cell>
          <cell r="BF1353" t="str">
            <v>Ok</v>
          </cell>
        </row>
        <row r="1354">
          <cell r="B1354" t="str">
            <v>TOTO NICKEL</v>
          </cell>
          <cell r="R1354">
            <v>0</v>
          </cell>
          <cell r="S1354">
            <v>70</v>
          </cell>
          <cell r="T1354">
            <v>10.7</v>
          </cell>
          <cell r="U1354">
            <v>0</v>
          </cell>
          <cell r="BA1354">
            <v>80.7</v>
          </cell>
          <cell r="BB1354">
            <v>0</v>
          </cell>
          <cell r="BF1354" t="str">
            <v>Ok</v>
          </cell>
        </row>
        <row r="1355">
          <cell r="B1355" t="str">
            <v>TOULON SAND</v>
          </cell>
          <cell r="R1355">
            <v>14.925000000000001</v>
          </cell>
          <cell r="S1355">
            <v>151.24</v>
          </cell>
          <cell r="T1355">
            <v>18.2</v>
          </cell>
          <cell r="U1355">
            <v>0</v>
          </cell>
          <cell r="BA1355">
            <v>252.44</v>
          </cell>
          <cell r="BB1355">
            <v>0</v>
          </cell>
          <cell r="BF1355" t="str">
            <v>Ok</v>
          </cell>
        </row>
        <row r="1356">
          <cell r="B1356" t="str">
            <v>TRANI IVORY</v>
          </cell>
          <cell r="R1356">
            <v>0</v>
          </cell>
          <cell r="S1356">
            <v>0</v>
          </cell>
          <cell r="T1356">
            <v>27.33</v>
          </cell>
          <cell r="U1356">
            <v>123.7</v>
          </cell>
          <cell r="BA1356">
            <v>151.03</v>
          </cell>
          <cell r="BB1356">
            <v>0</v>
          </cell>
          <cell r="BF1356" t="str">
            <v>Ok</v>
          </cell>
        </row>
        <row r="1357">
          <cell r="B1357" t="str">
            <v>TRIAD DOMINO</v>
          </cell>
          <cell r="R1357">
            <v>0.25</v>
          </cell>
          <cell r="S1357">
            <v>52.1</v>
          </cell>
          <cell r="T1357">
            <v>19.600000000000001</v>
          </cell>
          <cell r="U1357">
            <v>0</v>
          </cell>
          <cell r="BA1357">
            <v>71.7</v>
          </cell>
          <cell r="BB1357">
            <v>0</v>
          </cell>
          <cell r="BF1357" t="str">
            <v>Ok</v>
          </cell>
        </row>
        <row r="1358">
          <cell r="B1358" t="str">
            <v>TRIAD NATURAL</v>
          </cell>
          <cell r="R1358">
            <v>0.25</v>
          </cell>
          <cell r="S1358">
            <v>0</v>
          </cell>
          <cell r="T1358">
            <v>11.9</v>
          </cell>
          <cell r="U1358">
            <v>50.84</v>
          </cell>
          <cell r="BA1358">
            <v>62.74</v>
          </cell>
          <cell r="BB1358">
            <v>0</v>
          </cell>
          <cell r="BF1358" t="str">
            <v>Ok</v>
          </cell>
        </row>
        <row r="1359">
          <cell r="B1359" t="str">
            <v>TURINO ASH</v>
          </cell>
          <cell r="R1359">
            <v>29.1</v>
          </cell>
          <cell r="S1359">
            <v>34.11</v>
          </cell>
          <cell r="T1359">
            <v>27.58</v>
          </cell>
          <cell r="U1359">
            <v>0</v>
          </cell>
          <cell r="BA1359">
            <v>111.69</v>
          </cell>
          <cell r="BB1359">
            <v>0</v>
          </cell>
          <cell r="BF1359" t="str">
            <v>Resurtir</v>
          </cell>
        </row>
        <row r="1360">
          <cell r="B1360" t="str">
            <v>TURINO FOG</v>
          </cell>
          <cell r="R1360">
            <v>12.225</v>
          </cell>
          <cell r="S1360">
            <v>99.44</v>
          </cell>
          <cell r="T1360">
            <v>7.6</v>
          </cell>
          <cell r="U1360">
            <v>0</v>
          </cell>
          <cell r="BA1360">
            <v>107.03999999999999</v>
          </cell>
          <cell r="BB1360">
            <v>0</v>
          </cell>
          <cell r="BF1360" t="str">
            <v>Ok</v>
          </cell>
        </row>
        <row r="1361">
          <cell r="B1361" t="str">
            <v>TURINO LINEN</v>
          </cell>
          <cell r="R1361">
            <v>46.105000000000004</v>
          </cell>
          <cell r="S1361">
            <v>50.29</v>
          </cell>
          <cell r="T1361">
            <v>22.59</v>
          </cell>
          <cell r="U1361">
            <v>0</v>
          </cell>
          <cell r="BA1361">
            <v>222.88</v>
          </cell>
          <cell r="BB1361">
            <v>0</v>
          </cell>
          <cell r="BF1361" t="str">
            <v>Ok</v>
          </cell>
        </row>
        <row r="1362">
          <cell r="B1362" t="str">
            <v>TURINO SNOW</v>
          </cell>
          <cell r="R1362">
            <v>64.972499999999997</v>
          </cell>
          <cell r="S1362">
            <v>588.51</v>
          </cell>
          <cell r="T1362">
            <v>23</v>
          </cell>
          <cell r="U1362">
            <v>0</v>
          </cell>
          <cell r="BA1362">
            <v>611.51</v>
          </cell>
          <cell r="BB1362">
            <v>300</v>
          </cell>
          <cell r="BF1362" t="str">
            <v>Ok</v>
          </cell>
        </row>
        <row r="1363">
          <cell r="B1363" t="str">
            <v>VADA MARBLE</v>
          </cell>
          <cell r="R1363">
            <v>15.075000000000003</v>
          </cell>
          <cell r="S1363">
            <v>28</v>
          </cell>
          <cell r="T1363">
            <v>14.3</v>
          </cell>
          <cell r="U1363">
            <v>0</v>
          </cell>
          <cell r="BA1363">
            <v>244.3</v>
          </cell>
          <cell r="BB1363">
            <v>0</v>
          </cell>
          <cell r="BF1363" t="str">
            <v>Ok</v>
          </cell>
        </row>
        <row r="1364">
          <cell r="B1364" t="str">
            <v>VALENTINA ASH</v>
          </cell>
          <cell r="R1364">
            <v>71.650000000000006</v>
          </cell>
          <cell r="S1364">
            <v>887.8</v>
          </cell>
          <cell r="T1364">
            <v>25.7</v>
          </cell>
          <cell r="U1364">
            <v>0</v>
          </cell>
          <cell r="BA1364">
            <v>913.5</v>
          </cell>
          <cell r="BB1364">
            <v>200</v>
          </cell>
          <cell r="BF1364" t="str">
            <v>Ok</v>
          </cell>
        </row>
        <row r="1365">
          <cell r="B1365" t="str">
            <v>VALENTINA BEIGE</v>
          </cell>
          <cell r="R1365">
            <v>55.25</v>
          </cell>
          <cell r="S1365">
            <v>1140.7</v>
          </cell>
          <cell r="T1365">
            <v>5.9</v>
          </cell>
          <cell r="U1365">
            <v>1191.0999999999999</v>
          </cell>
          <cell r="BA1365">
            <v>2337.6999999999998</v>
          </cell>
          <cell r="BB1365">
            <v>200</v>
          </cell>
          <cell r="BF1365" t="str">
            <v>Ok</v>
          </cell>
        </row>
        <row r="1366">
          <cell r="B1366" t="str">
            <v>VALENTINA BLACK</v>
          </cell>
          <cell r="R1366">
            <v>47.3</v>
          </cell>
          <cell r="S1366">
            <v>89</v>
          </cell>
          <cell r="T1366">
            <v>17.899999999999999</v>
          </cell>
          <cell r="U1366">
            <v>757.4</v>
          </cell>
          <cell r="BA1366">
            <v>864.3</v>
          </cell>
          <cell r="BB1366">
            <v>0</v>
          </cell>
          <cell r="BF1366" t="str">
            <v>Ok</v>
          </cell>
        </row>
        <row r="1367">
          <cell r="B1367" t="str">
            <v>VALENTINA COPPER</v>
          </cell>
          <cell r="R1367">
            <v>46.75</v>
          </cell>
          <cell r="S1367">
            <v>680.9</v>
          </cell>
          <cell r="T1367">
            <v>22.1</v>
          </cell>
          <cell r="U1367">
            <v>1174.7</v>
          </cell>
          <cell r="BA1367">
            <v>1877.7</v>
          </cell>
          <cell r="BB1367">
            <v>300</v>
          </cell>
          <cell r="BF1367" t="str">
            <v>Ok</v>
          </cell>
        </row>
        <row r="1368">
          <cell r="B1368" t="str">
            <v>VALENTINA FERRARI</v>
          </cell>
          <cell r="R1368">
            <v>28.197500000000002</v>
          </cell>
          <cell r="S1368">
            <v>274.81</v>
          </cell>
          <cell r="T1368">
            <v>0</v>
          </cell>
          <cell r="U1368">
            <v>0</v>
          </cell>
          <cell r="BA1368">
            <v>274.81</v>
          </cell>
          <cell r="BB1368">
            <v>0</v>
          </cell>
          <cell r="BF1368" t="str">
            <v>Ok</v>
          </cell>
        </row>
        <row r="1369">
          <cell r="B1369" t="str">
            <v>VALENTINA ROYAL</v>
          </cell>
          <cell r="R1369">
            <v>18.2</v>
          </cell>
          <cell r="S1369">
            <v>84.5</v>
          </cell>
          <cell r="T1369">
            <v>13.7</v>
          </cell>
          <cell r="U1369">
            <v>0</v>
          </cell>
          <cell r="BA1369">
            <v>98.2</v>
          </cell>
          <cell r="BB1369">
            <v>0</v>
          </cell>
          <cell r="BF1369" t="str">
            <v>Ok</v>
          </cell>
        </row>
        <row r="1370">
          <cell r="B1370" t="str">
            <v>VALENTINA SADDLE</v>
          </cell>
          <cell r="R1370">
            <v>13.75</v>
          </cell>
          <cell r="S1370">
            <v>825.9</v>
          </cell>
          <cell r="T1370">
            <v>23.1</v>
          </cell>
          <cell r="U1370">
            <v>0</v>
          </cell>
          <cell r="BA1370">
            <v>849</v>
          </cell>
          <cell r="BB1370">
            <v>100</v>
          </cell>
          <cell r="BF1370" t="str">
            <v>Ok</v>
          </cell>
        </row>
        <row r="1371">
          <cell r="B1371" t="str">
            <v>VALENTINA SHARK</v>
          </cell>
          <cell r="R1371">
            <v>38.200000000000003</v>
          </cell>
          <cell r="S1371">
            <v>975.9</v>
          </cell>
          <cell r="T1371">
            <v>6</v>
          </cell>
          <cell r="U1371">
            <v>0</v>
          </cell>
          <cell r="BA1371">
            <v>981.9</v>
          </cell>
          <cell r="BB1371">
            <v>0</v>
          </cell>
          <cell r="BF1371" t="str">
            <v>Ok</v>
          </cell>
        </row>
        <row r="1372">
          <cell r="B1372" t="str">
            <v>VALENTINA TAUPE</v>
          </cell>
          <cell r="R1372">
            <v>24.5</v>
          </cell>
          <cell r="S1372">
            <v>442.2</v>
          </cell>
          <cell r="T1372">
            <v>15</v>
          </cell>
          <cell r="U1372">
            <v>0</v>
          </cell>
          <cell r="BA1372">
            <v>457.2</v>
          </cell>
          <cell r="BB1372">
            <v>300</v>
          </cell>
          <cell r="BF1372" t="str">
            <v>Ok</v>
          </cell>
        </row>
        <row r="1373">
          <cell r="B1373" t="str">
            <v>VARLEY BEIGE</v>
          </cell>
          <cell r="R1373">
            <v>24.814999999999998</v>
          </cell>
          <cell r="S1373">
            <v>50.5</v>
          </cell>
          <cell r="T1373">
            <v>37.590000000000003</v>
          </cell>
          <cell r="U1373">
            <v>0</v>
          </cell>
          <cell r="BA1373">
            <v>288.09000000000003</v>
          </cell>
          <cell r="BB1373">
            <v>100</v>
          </cell>
          <cell r="BF1373" t="str">
            <v>Ok</v>
          </cell>
        </row>
        <row r="1374">
          <cell r="B1374" t="str">
            <v>VARLEY BURNT CAMEL</v>
          </cell>
          <cell r="R1374">
            <v>48.99</v>
          </cell>
          <cell r="S1374">
            <v>0</v>
          </cell>
          <cell r="T1374">
            <v>33.700000000000003</v>
          </cell>
          <cell r="U1374">
            <v>0</v>
          </cell>
          <cell r="BA1374">
            <v>146.69999999999999</v>
          </cell>
          <cell r="BB1374">
            <v>150</v>
          </cell>
          <cell r="BF1374" t="str">
            <v>Resurtir</v>
          </cell>
        </row>
        <row r="1375">
          <cell r="B1375" t="str">
            <v>VARLEY CHESNUT</v>
          </cell>
          <cell r="R1375">
            <v>20.59</v>
          </cell>
          <cell r="S1375">
            <v>162.6</v>
          </cell>
          <cell r="T1375">
            <v>9.0399999999999991</v>
          </cell>
          <cell r="U1375">
            <v>0</v>
          </cell>
          <cell r="BA1375">
            <v>171.64</v>
          </cell>
          <cell r="BB1375">
            <v>150</v>
          </cell>
          <cell r="BF1375" t="str">
            <v>Ok</v>
          </cell>
        </row>
        <row r="1376">
          <cell r="B1376" t="str">
            <v>VARLEY COTTON</v>
          </cell>
          <cell r="R1376">
            <v>22.975000000000001</v>
          </cell>
          <cell r="S1376">
            <v>42.1</v>
          </cell>
          <cell r="T1376">
            <v>61.6</v>
          </cell>
          <cell r="U1376">
            <v>197.1</v>
          </cell>
          <cell r="BA1376">
            <v>300.8</v>
          </cell>
          <cell r="BB1376">
            <v>230</v>
          </cell>
          <cell r="BF1376" t="str">
            <v>Ok</v>
          </cell>
        </row>
        <row r="1377">
          <cell r="B1377" t="str">
            <v>VARLEY PARCHMENT</v>
          </cell>
          <cell r="R1377">
            <v>23.439999999999998</v>
          </cell>
          <cell r="S1377">
            <v>88</v>
          </cell>
          <cell r="T1377">
            <v>8.1</v>
          </cell>
          <cell r="U1377">
            <v>159.4</v>
          </cell>
          <cell r="BA1377">
            <v>255.5</v>
          </cell>
          <cell r="BB1377">
            <v>150</v>
          </cell>
          <cell r="BF1377" t="str">
            <v>Ok</v>
          </cell>
        </row>
        <row r="1378">
          <cell r="B1378" t="str">
            <v>VENUS BLUEBERRY</v>
          </cell>
          <cell r="R1378">
            <v>4.75</v>
          </cell>
          <cell r="S1378">
            <v>0</v>
          </cell>
          <cell r="T1378">
            <v>19.600000000000001</v>
          </cell>
          <cell r="U1378">
            <v>0</v>
          </cell>
          <cell r="BA1378">
            <v>122.6</v>
          </cell>
          <cell r="BB1378">
            <v>0</v>
          </cell>
          <cell r="BF1378" t="str">
            <v>Ok</v>
          </cell>
        </row>
        <row r="1379">
          <cell r="B1379" t="str">
            <v>VENUS CAMEO</v>
          </cell>
          <cell r="R1379">
            <v>21.25</v>
          </cell>
          <cell r="S1379">
            <v>191.1</v>
          </cell>
          <cell r="T1379">
            <v>18.7</v>
          </cell>
          <cell r="U1379">
            <v>0</v>
          </cell>
          <cell r="BA1379">
            <v>209.79999999999998</v>
          </cell>
          <cell r="BB1379">
            <v>0</v>
          </cell>
          <cell r="BF1379" t="str">
            <v>Ok</v>
          </cell>
        </row>
        <row r="1380">
          <cell r="B1380" t="str">
            <v>VENUS CANVAS</v>
          </cell>
          <cell r="R1380">
            <v>13.75</v>
          </cell>
          <cell r="S1380">
            <v>36</v>
          </cell>
          <cell r="T1380">
            <v>17</v>
          </cell>
          <cell r="U1380">
            <v>0</v>
          </cell>
          <cell r="BA1380">
            <v>253</v>
          </cell>
          <cell r="BB1380">
            <v>0</v>
          </cell>
          <cell r="BF1380" t="str">
            <v>Ok</v>
          </cell>
        </row>
        <row r="1381">
          <cell r="B1381" t="str">
            <v>VENUS CAVIAR</v>
          </cell>
          <cell r="R1381">
            <v>0.875</v>
          </cell>
          <cell r="S1381">
            <v>93.15</v>
          </cell>
          <cell r="T1381">
            <v>23.8</v>
          </cell>
          <cell r="U1381">
            <v>0</v>
          </cell>
          <cell r="BA1381">
            <v>116.95</v>
          </cell>
          <cell r="BB1381">
            <v>0</v>
          </cell>
          <cell r="BF1381" t="str">
            <v>Ok</v>
          </cell>
        </row>
        <row r="1382">
          <cell r="B1382" t="str">
            <v>VENUS DOLPHIN</v>
          </cell>
          <cell r="R1382">
            <v>0</v>
          </cell>
          <cell r="S1382">
            <v>46.9</v>
          </cell>
          <cell r="T1382">
            <v>5</v>
          </cell>
          <cell r="U1382">
            <v>0</v>
          </cell>
          <cell r="BA1382">
            <v>51.9</v>
          </cell>
          <cell r="BB1382">
            <v>0</v>
          </cell>
          <cell r="BF1382" t="str">
            <v>Ok</v>
          </cell>
        </row>
        <row r="1383">
          <cell r="B1383" t="str">
            <v>VENUS HEMP</v>
          </cell>
          <cell r="R1383">
            <v>0</v>
          </cell>
          <cell r="S1383">
            <v>138.5</v>
          </cell>
          <cell r="T1383">
            <v>0</v>
          </cell>
          <cell r="U1383">
            <v>0</v>
          </cell>
          <cell r="BA1383">
            <v>138.5</v>
          </cell>
          <cell r="BB1383">
            <v>0</v>
          </cell>
          <cell r="BF1383" t="str">
            <v>Ok</v>
          </cell>
        </row>
        <row r="1384">
          <cell r="B1384" t="str">
            <v>VENUS OYSTER</v>
          </cell>
          <cell r="R1384">
            <v>0</v>
          </cell>
          <cell r="S1384">
            <v>100</v>
          </cell>
          <cell r="T1384">
            <v>35.42</v>
          </cell>
          <cell r="U1384">
            <v>0</v>
          </cell>
          <cell r="BA1384">
            <v>135.42000000000002</v>
          </cell>
          <cell r="BB1384">
            <v>0</v>
          </cell>
          <cell r="BF1384" t="str">
            <v>Ok</v>
          </cell>
        </row>
        <row r="1385">
          <cell r="B1385" t="str">
            <v>VENUS RAIN</v>
          </cell>
          <cell r="R1385">
            <v>0</v>
          </cell>
          <cell r="S1385">
            <v>42.8</v>
          </cell>
          <cell r="T1385">
            <v>7.8</v>
          </cell>
          <cell r="U1385">
            <v>0</v>
          </cell>
          <cell r="BA1385">
            <v>50.599999999999994</v>
          </cell>
          <cell r="BB1385">
            <v>0</v>
          </cell>
          <cell r="BF1385" t="str">
            <v>Ok</v>
          </cell>
        </row>
        <row r="1386">
          <cell r="B1386" t="str">
            <v>VERONA PEPPER</v>
          </cell>
          <cell r="R1386">
            <v>1.125</v>
          </cell>
          <cell r="S1386">
            <v>97.9</v>
          </cell>
          <cell r="T1386">
            <v>0</v>
          </cell>
          <cell r="U1386">
            <v>0</v>
          </cell>
          <cell r="BA1386">
            <v>97.9</v>
          </cell>
          <cell r="BB1386">
            <v>0</v>
          </cell>
          <cell r="BF1386" t="str">
            <v>Ok</v>
          </cell>
        </row>
        <row r="1387">
          <cell r="B1387" t="str">
            <v>VERONA SHELL</v>
          </cell>
          <cell r="R1387">
            <v>1.5</v>
          </cell>
          <cell r="S1387">
            <v>58.9</v>
          </cell>
          <cell r="T1387">
            <v>11</v>
          </cell>
          <cell r="U1387">
            <v>55.2</v>
          </cell>
          <cell r="BA1387">
            <v>125.10000000000001</v>
          </cell>
          <cell r="BB1387">
            <v>0</v>
          </cell>
          <cell r="BF1387" t="str">
            <v>Ok</v>
          </cell>
        </row>
        <row r="1388">
          <cell r="B1388" t="str">
            <v>VESPER PLATINUM</v>
          </cell>
          <cell r="R1388">
            <v>1.25</v>
          </cell>
          <cell r="S1388">
            <v>33.299999999999997</v>
          </cell>
          <cell r="T1388">
            <v>29.2</v>
          </cell>
          <cell r="U1388">
            <v>0</v>
          </cell>
          <cell r="BA1388">
            <v>62.5</v>
          </cell>
          <cell r="BB1388">
            <v>0</v>
          </cell>
          <cell r="BF1388" t="str">
            <v>Ok</v>
          </cell>
        </row>
        <row r="1389">
          <cell r="B1389" t="str">
            <v>VICENZA GREY</v>
          </cell>
          <cell r="R1389">
            <v>0.3</v>
          </cell>
          <cell r="S1389">
            <v>0</v>
          </cell>
          <cell r="T1389">
            <v>13.05</v>
          </cell>
          <cell r="U1389">
            <v>52.3</v>
          </cell>
          <cell r="BA1389">
            <v>65.349999999999994</v>
          </cell>
          <cell r="BB1389">
            <v>0</v>
          </cell>
          <cell r="BF1389" t="str">
            <v>Ok</v>
          </cell>
        </row>
        <row r="1390">
          <cell r="B1390" t="str">
            <v>VICOLO CHARCOAL</v>
          </cell>
          <cell r="R1390">
            <v>0.3</v>
          </cell>
          <cell r="S1390">
            <v>37.950000000000003</v>
          </cell>
          <cell r="T1390">
            <v>8.15</v>
          </cell>
          <cell r="U1390">
            <v>0</v>
          </cell>
          <cell r="BA1390">
            <v>46.1</v>
          </cell>
          <cell r="BB1390">
            <v>0</v>
          </cell>
          <cell r="BF1390" t="str">
            <v>Ok</v>
          </cell>
        </row>
        <row r="1391">
          <cell r="B1391" t="str">
            <v>VICTORY BEIGE</v>
          </cell>
          <cell r="R1391">
            <v>68.900000000000006</v>
          </cell>
          <cell r="S1391">
            <v>599.78</v>
          </cell>
          <cell r="T1391">
            <v>16.7</v>
          </cell>
          <cell r="U1391">
            <v>429</v>
          </cell>
          <cell r="BA1391">
            <v>1045.48</v>
          </cell>
          <cell r="BB1391">
            <v>0</v>
          </cell>
          <cell r="BF1391" t="str">
            <v>Ok</v>
          </cell>
        </row>
        <row r="1392">
          <cell r="B1392" t="str">
            <v>VICTORY CAPUCCINO</v>
          </cell>
          <cell r="R1392">
            <v>12.125</v>
          </cell>
          <cell r="S1392">
            <v>1101</v>
          </cell>
          <cell r="T1392">
            <v>19.7</v>
          </cell>
          <cell r="U1392">
            <v>0</v>
          </cell>
          <cell r="BA1392">
            <v>1120.7</v>
          </cell>
          <cell r="BB1392">
            <v>100</v>
          </cell>
          <cell r="BF1392" t="str">
            <v>Ok</v>
          </cell>
        </row>
        <row r="1393">
          <cell r="B1393" t="str">
            <v>VICTORY DARK GREY</v>
          </cell>
          <cell r="R1393">
            <v>258.47500000000002</v>
          </cell>
          <cell r="S1393">
            <v>805.55</v>
          </cell>
          <cell r="T1393">
            <v>102.3</v>
          </cell>
          <cell r="U1393">
            <v>0</v>
          </cell>
          <cell r="BA1393">
            <v>1407.85</v>
          </cell>
          <cell r="BB1393">
            <v>1800</v>
          </cell>
          <cell r="BF1393" t="str">
            <v>Resurtir</v>
          </cell>
        </row>
        <row r="1394">
          <cell r="B1394" t="str">
            <v>VICTORY DARK GREY B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BA1394">
            <v>0</v>
          </cell>
          <cell r="BB1394">
            <v>0</v>
          </cell>
          <cell r="BF1394" t="str">
            <v>Resurtir</v>
          </cell>
        </row>
        <row r="1395">
          <cell r="B1395" t="str">
            <v>VICTORY FLINT</v>
          </cell>
          <cell r="R1395">
            <v>1.25</v>
          </cell>
          <cell r="S1395">
            <v>1135</v>
          </cell>
          <cell r="T1395">
            <v>0</v>
          </cell>
          <cell r="U1395">
            <v>0</v>
          </cell>
          <cell r="BA1395">
            <v>1135</v>
          </cell>
          <cell r="BB1395">
            <v>0</v>
          </cell>
          <cell r="BF1395" t="str">
            <v>Ok</v>
          </cell>
        </row>
        <row r="1396">
          <cell r="B1396" t="str">
            <v>VICTORY GREY</v>
          </cell>
          <cell r="R1396">
            <v>154.25</v>
          </cell>
          <cell r="S1396">
            <v>792.6</v>
          </cell>
          <cell r="T1396">
            <v>42</v>
          </cell>
          <cell r="U1396">
            <v>624.70000000000005</v>
          </cell>
          <cell r="BA1396">
            <v>1459.3000000000002</v>
          </cell>
          <cell r="BB1396">
            <v>1300</v>
          </cell>
          <cell r="BF1396" t="str">
            <v>Ok</v>
          </cell>
        </row>
        <row r="1397">
          <cell r="B1397" t="str">
            <v>VICTORY GREY B</v>
          </cell>
          <cell r="R1397">
            <v>0</v>
          </cell>
          <cell r="S1397">
            <v>86.1</v>
          </cell>
          <cell r="T1397">
            <v>0</v>
          </cell>
          <cell r="U1397">
            <v>0</v>
          </cell>
          <cell r="BA1397">
            <v>86.1</v>
          </cell>
          <cell r="BB1397">
            <v>0</v>
          </cell>
          <cell r="BF1397" t="str">
            <v>Ok</v>
          </cell>
        </row>
        <row r="1398">
          <cell r="B1398" t="str">
            <v>VICTORY IVORY</v>
          </cell>
          <cell r="R1398">
            <v>873.42499999999995</v>
          </cell>
          <cell r="S1398">
            <v>1554.6</v>
          </cell>
          <cell r="T1398">
            <v>36.6</v>
          </cell>
          <cell r="U1398">
            <v>1816.4</v>
          </cell>
          <cell r="BA1398">
            <v>3907.6</v>
          </cell>
          <cell r="BB1398">
            <v>6050</v>
          </cell>
          <cell r="BF1398" t="str">
            <v>Resurtir</v>
          </cell>
        </row>
        <row r="1399">
          <cell r="B1399" t="str">
            <v>VICTORY ONYX</v>
          </cell>
          <cell r="R1399">
            <v>131.19999999999999</v>
          </cell>
          <cell r="S1399">
            <v>2396.9</v>
          </cell>
          <cell r="T1399">
            <v>25</v>
          </cell>
          <cell r="U1399">
            <v>2869.3</v>
          </cell>
          <cell r="BA1399">
            <v>5291.2000000000007</v>
          </cell>
          <cell r="BB1399">
            <v>3450</v>
          </cell>
          <cell r="BF1399" t="str">
            <v>Ok</v>
          </cell>
        </row>
        <row r="1400">
          <cell r="B1400" t="str">
            <v>VICTORY ORION BLUE</v>
          </cell>
          <cell r="R1400">
            <v>209.15</v>
          </cell>
          <cell r="S1400">
            <v>2881.7</v>
          </cell>
          <cell r="T1400">
            <v>30.9</v>
          </cell>
          <cell r="U1400">
            <v>1096.5999999999999</v>
          </cell>
          <cell r="BA1400">
            <v>4009.2</v>
          </cell>
          <cell r="BB1400">
            <v>2150</v>
          </cell>
          <cell r="BF1400" t="str">
            <v>Ok</v>
          </cell>
        </row>
        <row r="1401">
          <cell r="B1401" t="str">
            <v>VICTORY SKY</v>
          </cell>
          <cell r="R1401">
            <v>34.975000000000001</v>
          </cell>
          <cell r="S1401">
            <v>465.3</v>
          </cell>
          <cell r="T1401">
            <v>0</v>
          </cell>
          <cell r="U1401">
            <v>0</v>
          </cell>
          <cell r="BA1401">
            <v>465.3</v>
          </cell>
          <cell r="BB1401">
            <v>0</v>
          </cell>
          <cell r="BF1401" t="str">
            <v>Ok</v>
          </cell>
        </row>
        <row r="1402">
          <cell r="B1402" t="str">
            <v>VICTORY STRAW</v>
          </cell>
          <cell r="R1402">
            <v>122.35</v>
          </cell>
          <cell r="S1402">
            <v>775</v>
          </cell>
          <cell r="T1402">
            <v>14.2</v>
          </cell>
          <cell r="U1402">
            <v>472.3</v>
          </cell>
          <cell r="BA1402">
            <v>1261.5</v>
          </cell>
          <cell r="BB1402">
            <v>1350</v>
          </cell>
          <cell r="BF1402" t="str">
            <v>Resurtir</v>
          </cell>
        </row>
        <row r="1403">
          <cell r="B1403" t="str">
            <v>VICTORY TEAL</v>
          </cell>
          <cell r="R1403">
            <v>96.899999999999991</v>
          </cell>
          <cell r="S1403">
            <v>661.5</v>
          </cell>
          <cell r="T1403">
            <v>0</v>
          </cell>
          <cell r="U1403">
            <v>0</v>
          </cell>
          <cell r="BA1403">
            <v>661.5</v>
          </cell>
          <cell r="BB1403">
            <v>900</v>
          </cell>
          <cell r="BF1403" t="str">
            <v>Resurtir</v>
          </cell>
        </row>
        <row r="1404">
          <cell r="B1404" t="str">
            <v>VICTORY THUNDER</v>
          </cell>
          <cell r="R1404">
            <v>54.424999999999997</v>
          </cell>
          <cell r="S1404">
            <v>237.4</v>
          </cell>
          <cell r="T1404">
            <v>0</v>
          </cell>
          <cell r="U1404">
            <v>0</v>
          </cell>
          <cell r="BA1404">
            <v>737.4</v>
          </cell>
          <cell r="BB1404">
            <v>0</v>
          </cell>
          <cell r="BF1404" t="str">
            <v>Ok</v>
          </cell>
        </row>
        <row r="1405">
          <cell r="B1405" t="str">
            <v>VICTORY YELLOW</v>
          </cell>
          <cell r="R1405">
            <v>0.75</v>
          </cell>
          <cell r="S1405">
            <v>745.6</v>
          </cell>
          <cell r="T1405">
            <v>0</v>
          </cell>
          <cell r="U1405">
            <v>0</v>
          </cell>
          <cell r="BA1405">
            <v>745.6</v>
          </cell>
          <cell r="BB1405">
            <v>0</v>
          </cell>
          <cell r="BF1405" t="str">
            <v>Ok</v>
          </cell>
        </row>
        <row r="1406">
          <cell r="B1406" t="str">
            <v>VITTORIA ECRU</v>
          </cell>
          <cell r="R1406">
            <v>3.25</v>
          </cell>
          <cell r="S1406">
            <v>36.700000000000003</v>
          </cell>
          <cell r="T1406">
            <v>12.05</v>
          </cell>
          <cell r="U1406">
            <v>0</v>
          </cell>
          <cell r="BA1406">
            <v>48.75</v>
          </cell>
          <cell r="BB1406">
            <v>0</v>
          </cell>
          <cell r="BF1406" t="str">
            <v>Ok</v>
          </cell>
        </row>
        <row r="1407">
          <cell r="B1407" t="str">
            <v>VIVACITY AQUAMARINE</v>
          </cell>
          <cell r="R1407">
            <v>201.22500000000002</v>
          </cell>
          <cell r="S1407">
            <v>77.3</v>
          </cell>
          <cell r="T1407">
            <v>19.100000000000001</v>
          </cell>
          <cell r="U1407">
            <v>0</v>
          </cell>
          <cell r="BA1407">
            <v>1096.4000000000001</v>
          </cell>
          <cell r="BB1407">
            <v>250</v>
          </cell>
          <cell r="BF1407" t="str">
            <v>Ok</v>
          </cell>
        </row>
        <row r="1408">
          <cell r="B1408" t="str">
            <v>VIVACITY BEIGE</v>
          </cell>
          <cell r="R1408">
            <v>121.29999999999998</v>
          </cell>
          <cell r="S1408">
            <v>997</v>
          </cell>
          <cell r="T1408">
            <v>31.45</v>
          </cell>
          <cell r="U1408">
            <v>0</v>
          </cell>
          <cell r="BA1408">
            <v>1028.45</v>
          </cell>
          <cell r="BB1408">
            <v>300</v>
          </cell>
          <cell r="BF1408" t="str">
            <v>Ok</v>
          </cell>
        </row>
        <row r="1409">
          <cell r="B1409" t="str">
            <v>VIVACITY BRICK</v>
          </cell>
          <cell r="R1409">
            <v>175.22499999999997</v>
          </cell>
          <cell r="S1409">
            <v>86.6</v>
          </cell>
          <cell r="T1409">
            <v>37.5</v>
          </cell>
          <cell r="U1409">
            <v>0</v>
          </cell>
          <cell r="BA1409">
            <v>1332.1</v>
          </cell>
          <cell r="BB1409">
            <v>400</v>
          </cell>
          <cell r="BF1409" t="str">
            <v>Ok</v>
          </cell>
        </row>
        <row r="1410">
          <cell r="B1410" t="str">
            <v>VIVACITY CHESTNUT</v>
          </cell>
          <cell r="R1410">
            <v>121.325</v>
          </cell>
          <cell r="S1410">
            <v>359.6</v>
          </cell>
          <cell r="T1410">
            <v>10.4</v>
          </cell>
          <cell r="U1410">
            <v>2443.4</v>
          </cell>
          <cell r="BA1410">
            <v>2813.4</v>
          </cell>
          <cell r="BB1410">
            <v>350</v>
          </cell>
          <cell r="BF1410" t="str">
            <v>Ok</v>
          </cell>
        </row>
        <row r="1411">
          <cell r="B1411" t="str">
            <v>VIVACITY EBONY</v>
          </cell>
          <cell r="R1411">
            <v>68.95</v>
          </cell>
          <cell r="S1411">
            <v>349.7</v>
          </cell>
          <cell r="T1411">
            <v>31.5</v>
          </cell>
          <cell r="U1411">
            <v>1232.3</v>
          </cell>
          <cell r="BA1411">
            <v>1613.5</v>
          </cell>
          <cell r="BB1411">
            <v>200</v>
          </cell>
          <cell r="BF1411" t="str">
            <v>Ok</v>
          </cell>
        </row>
        <row r="1412">
          <cell r="B1412" t="str">
            <v>VIVACITY INDIGO</v>
          </cell>
          <cell r="R1412">
            <v>39.25</v>
          </cell>
          <cell r="S1412">
            <v>1097.8</v>
          </cell>
          <cell r="T1412">
            <v>0</v>
          </cell>
          <cell r="U1412">
            <v>0</v>
          </cell>
          <cell r="BA1412">
            <v>1097.8</v>
          </cell>
          <cell r="BB1412">
            <v>50</v>
          </cell>
          <cell r="BF1412" t="str">
            <v>Ok</v>
          </cell>
        </row>
        <row r="1413">
          <cell r="B1413" t="str">
            <v>VIVACITY IVORY</v>
          </cell>
          <cell r="R1413">
            <v>450.67500000000001</v>
          </cell>
          <cell r="S1413">
            <v>1621.6</v>
          </cell>
          <cell r="T1413">
            <v>18.5</v>
          </cell>
          <cell r="U1413">
            <v>1134</v>
          </cell>
          <cell r="BA1413">
            <v>3574.1</v>
          </cell>
          <cell r="BB1413">
            <v>1750</v>
          </cell>
          <cell r="BF1413" t="str">
            <v>Ok</v>
          </cell>
        </row>
        <row r="1414">
          <cell r="B1414" t="str">
            <v>VIVACITY MUSTARD</v>
          </cell>
          <cell r="R1414">
            <v>71.274999999999991</v>
          </cell>
          <cell r="S1414">
            <v>592.20000000000005</v>
          </cell>
          <cell r="T1414">
            <v>5.2</v>
          </cell>
          <cell r="U1414">
            <v>0</v>
          </cell>
          <cell r="BA1414">
            <v>597.40000000000009</v>
          </cell>
          <cell r="BB1414">
            <v>100</v>
          </cell>
          <cell r="BF1414" t="str">
            <v>Ok</v>
          </cell>
        </row>
        <row r="1415">
          <cell r="B1415" t="str">
            <v>VIVACITY PINE</v>
          </cell>
          <cell r="R1415">
            <v>178.82499999999999</v>
          </cell>
          <cell r="S1415">
            <v>1157.3</v>
          </cell>
          <cell r="T1415">
            <v>45.8</v>
          </cell>
          <cell r="U1415">
            <v>0</v>
          </cell>
          <cell r="BA1415">
            <v>1203.0999999999999</v>
          </cell>
          <cell r="BB1415">
            <v>350</v>
          </cell>
          <cell r="BF1415" t="str">
            <v>Ok</v>
          </cell>
        </row>
        <row r="1416">
          <cell r="B1416" t="str">
            <v>VIVACITY SHADOW</v>
          </cell>
          <cell r="R1416">
            <v>44.5</v>
          </cell>
          <cell r="S1416">
            <v>423.7</v>
          </cell>
          <cell r="T1416">
            <v>0</v>
          </cell>
          <cell r="U1416">
            <v>1256.3</v>
          </cell>
          <cell r="BA1416">
            <v>1680</v>
          </cell>
          <cell r="BB1416">
            <v>1200</v>
          </cell>
          <cell r="BF1416" t="str">
            <v>Ok</v>
          </cell>
        </row>
        <row r="1417">
          <cell r="B1417" t="str">
            <v>VIVACITY SNOW</v>
          </cell>
          <cell r="R1417">
            <v>68.025000000000006</v>
          </cell>
          <cell r="S1417">
            <v>823.1</v>
          </cell>
          <cell r="T1417">
            <v>46.2</v>
          </cell>
          <cell r="U1417">
            <v>0</v>
          </cell>
          <cell r="BA1417">
            <v>869.30000000000007</v>
          </cell>
          <cell r="BB1417">
            <v>100</v>
          </cell>
          <cell r="BF1417" t="str">
            <v>Ok</v>
          </cell>
        </row>
        <row r="1418">
          <cell r="B1418" t="str">
            <v>WAIKIKI DENIM</v>
          </cell>
          <cell r="R1418">
            <v>11.074999999999999</v>
          </cell>
          <cell r="S1418">
            <v>46.88</v>
          </cell>
          <cell r="T1418">
            <v>5.83</v>
          </cell>
          <cell r="U1418">
            <v>0</v>
          </cell>
          <cell r="BA1418">
            <v>52.71</v>
          </cell>
          <cell r="BB1418">
            <v>0</v>
          </cell>
          <cell r="BF1418" t="str">
            <v>Ok</v>
          </cell>
        </row>
        <row r="1419">
          <cell r="B1419" t="str">
            <v>WAIKIKI NATURAL</v>
          </cell>
          <cell r="R1419">
            <v>226.09500000000003</v>
          </cell>
          <cell r="S1419">
            <v>75.489999999999995</v>
          </cell>
          <cell r="T1419">
            <v>80.739999999999995</v>
          </cell>
          <cell r="U1419">
            <v>0</v>
          </cell>
          <cell r="BA1419">
            <v>835.23</v>
          </cell>
          <cell r="BB1419">
            <v>300</v>
          </cell>
          <cell r="BF1419" t="str">
            <v>Resurtir</v>
          </cell>
        </row>
        <row r="1420">
          <cell r="B1420" t="str">
            <v>WAIKIKI PEARL</v>
          </cell>
          <cell r="R1420">
            <v>62.155000000000008</v>
          </cell>
          <cell r="S1420">
            <v>185.64</v>
          </cell>
          <cell r="T1420">
            <v>17.309999999999999</v>
          </cell>
          <cell r="U1420">
            <v>0</v>
          </cell>
          <cell r="BA1420">
            <v>302.95</v>
          </cell>
          <cell r="BB1420">
            <v>100</v>
          </cell>
          <cell r="BF1420" t="str">
            <v>Ok</v>
          </cell>
        </row>
        <row r="1421">
          <cell r="B1421" t="str">
            <v>WAIKIKI SNOW</v>
          </cell>
          <cell r="R1421">
            <v>46.725000000000001</v>
          </cell>
          <cell r="S1421">
            <v>120.33</v>
          </cell>
          <cell r="T1421">
            <v>47.57</v>
          </cell>
          <cell r="U1421">
            <v>0</v>
          </cell>
          <cell r="BA1421">
            <v>465.9</v>
          </cell>
          <cell r="BB1421">
            <v>50</v>
          </cell>
          <cell r="BF1421" t="str">
            <v>Ok</v>
          </cell>
        </row>
        <row r="1422">
          <cell r="B1422" t="str">
            <v>WEMBLEY DUSK</v>
          </cell>
          <cell r="R1422">
            <v>7.625</v>
          </cell>
          <cell r="S1422">
            <v>158.08000000000001</v>
          </cell>
          <cell r="T1422">
            <v>70.7</v>
          </cell>
          <cell r="U1422">
            <v>51.2</v>
          </cell>
          <cell r="BA1422">
            <v>279.98</v>
          </cell>
          <cell r="BB1422">
            <v>100</v>
          </cell>
          <cell r="BF1422" t="str">
            <v>Ok</v>
          </cell>
        </row>
        <row r="1423">
          <cell r="B1423" t="str">
            <v>WEMBLEY RIVERSIDE</v>
          </cell>
          <cell r="R1423">
            <v>4.875</v>
          </cell>
          <cell r="S1423">
            <v>77.45</v>
          </cell>
          <cell r="T1423">
            <v>27.23</v>
          </cell>
          <cell r="U1423">
            <v>0</v>
          </cell>
          <cell r="BA1423">
            <v>104.68</v>
          </cell>
          <cell r="BB1423">
            <v>0</v>
          </cell>
          <cell r="BF1423" t="str">
            <v>Ok</v>
          </cell>
        </row>
        <row r="1424">
          <cell r="B1424" t="str">
            <v>WESLEY CHAMPAGNE</v>
          </cell>
          <cell r="R1424">
            <v>5.9250000000000007</v>
          </cell>
          <cell r="S1424">
            <v>133.1</v>
          </cell>
          <cell r="T1424">
            <v>10.1</v>
          </cell>
          <cell r="U1424">
            <v>0</v>
          </cell>
          <cell r="BA1424">
            <v>143.19999999999999</v>
          </cell>
          <cell r="BB1424">
            <v>0</v>
          </cell>
          <cell r="BF1424" t="str">
            <v>Ok</v>
          </cell>
        </row>
        <row r="1425">
          <cell r="B1425" t="str">
            <v>WESTWOOD BLUE</v>
          </cell>
          <cell r="R1425">
            <v>3.4000000000000004</v>
          </cell>
          <cell r="S1425">
            <v>87.71</v>
          </cell>
          <cell r="T1425">
            <v>0</v>
          </cell>
          <cell r="U1425">
            <v>0</v>
          </cell>
          <cell r="BA1425">
            <v>87.71</v>
          </cell>
          <cell r="BB1425">
            <v>0</v>
          </cell>
          <cell r="BF1425" t="str">
            <v>Ok</v>
          </cell>
        </row>
        <row r="1426">
          <cell r="B1426" t="str">
            <v>WESTWOOD NATURAL</v>
          </cell>
          <cell r="R1426">
            <v>10.85</v>
          </cell>
          <cell r="S1426">
            <v>335.45</v>
          </cell>
          <cell r="T1426">
            <v>10.73</v>
          </cell>
          <cell r="U1426">
            <v>0</v>
          </cell>
          <cell r="BA1426">
            <v>496.18</v>
          </cell>
          <cell r="BB1426">
            <v>0</v>
          </cell>
          <cell r="BF1426" t="str">
            <v>Ok</v>
          </cell>
        </row>
        <row r="1427">
          <cell r="B1427" t="str">
            <v>WHISPER CHARCOAL</v>
          </cell>
          <cell r="R1427">
            <v>0.8</v>
          </cell>
          <cell r="S1427">
            <v>247.8</v>
          </cell>
          <cell r="T1427">
            <v>12.9</v>
          </cell>
          <cell r="U1427">
            <v>0</v>
          </cell>
          <cell r="BA1427">
            <v>260.7</v>
          </cell>
          <cell r="BB1427">
            <v>0</v>
          </cell>
          <cell r="BF1427" t="str">
            <v>Ok</v>
          </cell>
        </row>
        <row r="1428">
          <cell r="B1428" t="str">
            <v>WHISPER PEWTER</v>
          </cell>
          <cell r="R1428">
            <v>0</v>
          </cell>
          <cell r="S1428">
            <v>159.80000000000001</v>
          </cell>
          <cell r="T1428">
            <v>5.6</v>
          </cell>
          <cell r="U1428">
            <v>544</v>
          </cell>
          <cell r="BA1428">
            <v>709.4</v>
          </cell>
          <cell r="BB1428">
            <v>0</v>
          </cell>
          <cell r="BF1428" t="str">
            <v>Ok</v>
          </cell>
        </row>
        <row r="1429">
          <cell r="B1429" t="str">
            <v>WINDSOR BARK</v>
          </cell>
          <cell r="R1429">
            <v>4.75</v>
          </cell>
          <cell r="S1429">
            <v>226.1</v>
          </cell>
          <cell r="T1429">
            <v>0</v>
          </cell>
          <cell r="U1429">
            <v>0</v>
          </cell>
          <cell r="BA1429">
            <v>226.1</v>
          </cell>
          <cell r="BB1429">
            <v>150</v>
          </cell>
          <cell r="BF1429" t="str">
            <v>Ok</v>
          </cell>
        </row>
        <row r="1430">
          <cell r="B1430" t="str">
            <v>WINDSOR CREAM</v>
          </cell>
          <cell r="R1430">
            <v>69.25</v>
          </cell>
          <cell r="S1430">
            <v>424.3</v>
          </cell>
          <cell r="T1430">
            <v>14.7</v>
          </cell>
          <cell r="U1430">
            <v>0</v>
          </cell>
          <cell r="BA1430">
            <v>870</v>
          </cell>
          <cell r="BB1430">
            <v>0</v>
          </cell>
          <cell r="BF1430" t="str">
            <v>Ok</v>
          </cell>
        </row>
        <row r="1431">
          <cell r="B1431" t="str">
            <v>WINDSOR ECRU</v>
          </cell>
          <cell r="R1431">
            <v>92.949999999999989</v>
          </cell>
          <cell r="S1431">
            <v>301.3</v>
          </cell>
          <cell r="T1431">
            <v>30.6</v>
          </cell>
          <cell r="U1431">
            <v>0</v>
          </cell>
          <cell r="BA1431">
            <v>791.90000000000009</v>
          </cell>
          <cell r="BB1431">
            <v>150</v>
          </cell>
          <cell r="BF1431" t="str">
            <v>Ok</v>
          </cell>
        </row>
        <row r="1432">
          <cell r="B1432" t="str">
            <v>WINDSOR LATTE</v>
          </cell>
          <cell r="R1432">
            <v>27.65</v>
          </cell>
          <cell r="S1432">
            <v>141.4</v>
          </cell>
          <cell r="T1432">
            <v>0</v>
          </cell>
          <cell r="U1432">
            <v>0</v>
          </cell>
          <cell r="BA1432">
            <v>141.4</v>
          </cell>
          <cell r="BB1432">
            <v>150</v>
          </cell>
          <cell r="BF1432" t="str">
            <v>Resurtir</v>
          </cell>
        </row>
        <row r="1433">
          <cell r="B1433" t="str">
            <v>WINDSOR PEWTER</v>
          </cell>
          <cell r="R1433">
            <v>78.825000000000003</v>
          </cell>
          <cell r="S1433">
            <v>213.7</v>
          </cell>
          <cell r="T1433">
            <v>6.35</v>
          </cell>
          <cell r="U1433">
            <v>0</v>
          </cell>
          <cell r="BA1433">
            <v>714.05</v>
          </cell>
          <cell r="BB1433">
            <v>150</v>
          </cell>
          <cell r="BF1433" t="str">
            <v>Ok</v>
          </cell>
        </row>
        <row r="1434">
          <cell r="B1434" t="str">
            <v>WINSLOW JEWEL</v>
          </cell>
          <cell r="R1434">
            <v>0</v>
          </cell>
          <cell r="S1434">
            <v>234.87</v>
          </cell>
          <cell r="T1434">
            <v>0</v>
          </cell>
          <cell r="U1434">
            <v>0</v>
          </cell>
          <cell r="BA1434">
            <v>234.87</v>
          </cell>
          <cell r="BB1434">
            <v>0</v>
          </cell>
          <cell r="BF1434" t="str">
            <v>Ok</v>
          </cell>
        </row>
        <row r="1435">
          <cell r="B1435" t="str">
            <v>WISH LINEN</v>
          </cell>
          <cell r="R1435">
            <v>87.1</v>
          </cell>
          <cell r="S1435">
            <v>0</v>
          </cell>
          <cell r="T1435">
            <v>23.05</v>
          </cell>
          <cell r="U1435">
            <v>0</v>
          </cell>
          <cell r="BA1435">
            <v>637.04999999999995</v>
          </cell>
          <cell r="BB1435">
            <v>0</v>
          </cell>
          <cell r="BF1435" t="str">
            <v>Ok</v>
          </cell>
        </row>
        <row r="1436">
          <cell r="B1436" t="str">
            <v>WISH PEARL</v>
          </cell>
          <cell r="R1436">
            <v>94.924999999999997</v>
          </cell>
          <cell r="S1436">
            <v>0</v>
          </cell>
          <cell r="T1436">
            <v>29.7</v>
          </cell>
          <cell r="U1436">
            <v>0</v>
          </cell>
          <cell r="BA1436">
            <v>663.7</v>
          </cell>
          <cell r="BB1436">
            <v>150</v>
          </cell>
          <cell r="BF1436" t="str">
            <v>Ok</v>
          </cell>
        </row>
        <row r="1437">
          <cell r="B1437" t="str">
            <v>WORSTED CARBON</v>
          </cell>
          <cell r="R1437">
            <v>1.25</v>
          </cell>
          <cell r="S1437">
            <v>256.48</v>
          </cell>
          <cell r="T1437">
            <v>16.2</v>
          </cell>
          <cell r="U1437">
            <v>0</v>
          </cell>
          <cell r="BA1437">
            <v>272.68</v>
          </cell>
          <cell r="BB1437">
            <v>0</v>
          </cell>
          <cell r="BF1437" t="str">
            <v>Ok</v>
          </cell>
        </row>
        <row r="1438">
          <cell r="B1438" t="str">
            <v>WORSTED CEMENT</v>
          </cell>
          <cell r="R1438">
            <v>25.75</v>
          </cell>
          <cell r="S1438">
            <v>50.33</v>
          </cell>
          <cell r="T1438">
            <v>19.54</v>
          </cell>
          <cell r="U1438">
            <v>0</v>
          </cell>
          <cell r="BA1438">
            <v>219.87</v>
          </cell>
          <cell r="BB1438">
            <v>0</v>
          </cell>
          <cell r="BF1438" t="str">
            <v>Ok</v>
          </cell>
        </row>
        <row r="1439">
          <cell r="B1439" t="str">
            <v>WORSTED COTTON</v>
          </cell>
          <cell r="R1439">
            <v>5.5</v>
          </cell>
          <cell r="S1439">
            <v>101.23</v>
          </cell>
          <cell r="T1439">
            <v>16.739999999999998</v>
          </cell>
          <cell r="U1439">
            <v>33.56</v>
          </cell>
          <cell r="BA1439">
            <v>151.53</v>
          </cell>
          <cell r="BB1439">
            <v>30</v>
          </cell>
          <cell r="BF1439" t="str">
            <v>Ok</v>
          </cell>
        </row>
        <row r="1440">
          <cell r="B1440" t="str">
            <v>WORSTED WOOL</v>
          </cell>
          <cell r="R1440">
            <v>46.337500000000006</v>
          </cell>
          <cell r="S1440">
            <v>128.56</v>
          </cell>
          <cell r="T1440">
            <v>75.31</v>
          </cell>
          <cell r="U1440">
            <v>23.59</v>
          </cell>
          <cell r="BA1440">
            <v>227.46</v>
          </cell>
          <cell r="BB1440">
            <v>0</v>
          </cell>
          <cell r="BF1440" t="str">
            <v>Ok</v>
          </cell>
        </row>
        <row r="1441">
          <cell r="B1441" t="str">
            <v>WYATT CREAM</v>
          </cell>
          <cell r="R1441">
            <v>7</v>
          </cell>
          <cell r="S1441">
            <v>122</v>
          </cell>
          <cell r="T1441">
            <v>5.87</v>
          </cell>
          <cell r="U1441">
            <v>164.9</v>
          </cell>
          <cell r="BA1441">
            <v>292.77</v>
          </cell>
          <cell r="BB1441">
            <v>50</v>
          </cell>
          <cell r="BF1441" t="str">
            <v>Ok</v>
          </cell>
        </row>
        <row r="1442">
          <cell r="B1442" t="str">
            <v>WYATT EBONY</v>
          </cell>
          <cell r="R1442">
            <v>9.36</v>
          </cell>
          <cell r="S1442">
            <v>78.599999999999994</v>
          </cell>
          <cell r="T1442">
            <v>8.9600000000000009</v>
          </cell>
          <cell r="U1442">
            <v>0</v>
          </cell>
          <cell r="BA1442">
            <v>87.56</v>
          </cell>
          <cell r="BB1442">
            <v>0</v>
          </cell>
          <cell r="BF1442" t="str">
            <v>Ok</v>
          </cell>
        </row>
        <row r="1443">
          <cell r="B1443" t="str">
            <v>WYATT NATURAL</v>
          </cell>
          <cell r="R1443">
            <v>54.3</v>
          </cell>
          <cell r="S1443">
            <v>103.8</v>
          </cell>
          <cell r="T1443">
            <v>29.6</v>
          </cell>
          <cell r="U1443">
            <v>0</v>
          </cell>
          <cell r="BA1443">
            <v>446.4</v>
          </cell>
          <cell r="BB1443">
            <v>100</v>
          </cell>
          <cell r="BF1443" t="str">
            <v>Ok</v>
          </cell>
        </row>
        <row r="1444">
          <cell r="B1444" t="str">
            <v>WYATT NICKEL</v>
          </cell>
          <cell r="R1444">
            <v>1.9750000000000001</v>
          </cell>
          <cell r="S1444">
            <v>119.6</v>
          </cell>
          <cell r="T1444">
            <v>0</v>
          </cell>
          <cell r="U1444">
            <v>0</v>
          </cell>
          <cell r="BA1444">
            <v>119.6</v>
          </cell>
          <cell r="BB1444">
            <v>30</v>
          </cell>
          <cell r="BF1444" t="str">
            <v>Ok</v>
          </cell>
        </row>
        <row r="1445">
          <cell r="B1445" t="str">
            <v>WYATT PORCELAIN</v>
          </cell>
          <cell r="R1445">
            <v>33.5</v>
          </cell>
          <cell r="S1445">
            <v>236.7</v>
          </cell>
          <cell r="T1445">
            <v>10.1</v>
          </cell>
          <cell r="U1445">
            <v>0</v>
          </cell>
          <cell r="BA1445">
            <v>246.79999999999998</v>
          </cell>
          <cell r="BB1445">
            <v>0</v>
          </cell>
          <cell r="BF1445" t="str">
            <v>Ok</v>
          </cell>
        </row>
        <row r="1446">
          <cell r="B1446" t="str">
            <v>WYATT TAUPE</v>
          </cell>
          <cell r="R1446">
            <v>17.05</v>
          </cell>
          <cell r="S1446">
            <v>67.400000000000006</v>
          </cell>
          <cell r="T1446">
            <v>0</v>
          </cell>
          <cell r="U1446">
            <v>309.89999999999998</v>
          </cell>
          <cell r="BA1446">
            <v>377.29999999999995</v>
          </cell>
          <cell r="BB1446">
            <v>0</v>
          </cell>
          <cell r="BF1446" t="str">
            <v>Ok</v>
          </cell>
        </row>
        <row r="1447">
          <cell r="B1447" t="str">
            <v>YES AGATE</v>
          </cell>
          <cell r="R1447">
            <v>0.92500000000000004</v>
          </cell>
          <cell r="S1447">
            <v>144.9</v>
          </cell>
          <cell r="T1447">
            <v>13.7</v>
          </cell>
          <cell r="U1447">
            <v>0</v>
          </cell>
          <cell r="BA1447">
            <v>158.6</v>
          </cell>
          <cell r="BB1447">
            <v>0</v>
          </cell>
          <cell r="BF1447" t="str">
            <v>Ok</v>
          </cell>
        </row>
        <row r="1448">
          <cell r="B1448" t="str">
            <v>YES GRANITE</v>
          </cell>
          <cell r="R1448">
            <v>0.3</v>
          </cell>
          <cell r="S1448">
            <v>173.5</v>
          </cell>
          <cell r="T1448">
            <v>0</v>
          </cell>
          <cell r="U1448">
            <v>0</v>
          </cell>
          <cell r="BA1448">
            <v>173.5</v>
          </cell>
          <cell r="BB1448">
            <v>0</v>
          </cell>
          <cell r="BF1448" t="str">
            <v>Ok</v>
          </cell>
        </row>
        <row r="1449">
          <cell r="B1449" t="str">
            <v>ZAPPA AMBER</v>
          </cell>
          <cell r="R1449">
            <v>2.75</v>
          </cell>
          <cell r="S1449">
            <v>70.3</v>
          </cell>
          <cell r="T1449">
            <v>0</v>
          </cell>
          <cell r="U1449">
            <v>0</v>
          </cell>
          <cell r="BA1449">
            <v>70.3</v>
          </cell>
          <cell r="BB1449">
            <v>0</v>
          </cell>
          <cell r="BF1449" t="str">
            <v>Ok</v>
          </cell>
        </row>
        <row r="1450">
          <cell r="B1450" t="str">
            <v>ZAPPA APPLE</v>
          </cell>
          <cell r="R1450">
            <v>0</v>
          </cell>
          <cell r="S1450">
            <v>0</v>
          </cell>
          <cell r="T1450">
            <v>17.7</v>
          </cell>
          <cell r="U1450">
            <v>0</v>
          </cell>
          <cell r="BA1450">
            <v>17.7</v>
          </cell>
          <cell r="BB1450">
            <v>0</v>
          </cell>
          <cell r="BF1450" t="str">
            <v>Ok</v>
          </cell>
        </row>
        <row r="1451">
          <cell r="B1451" t="str">
            <v>ZAPPA BURAP</v>
          </cell>
          <cell r="R1451">
            <v>2.0499999999999998</v>
          </cell>
          <cell r="S1451">
            <v>25.3</v>
          </cell>
          <cell r="T1451">
            <v>11.2</v>
          </cell>
          <cell r="U1451">
            <v>0</v>
          </cell>
          <cell r="BA1451">
            <v>36.5</v>
          </cell>
          <cell r="BB1451">
            <v>0</v>
          </cell>
          <cell r="BF1451" t="str">
            <v>Ok</v>
          </cell>
        </row>
        <row r="1452">
          <cell r="B1452" t="str">
            <v>ZAPPA COCONUT</v>
          </cell>
          <cell r="R1452">
            <v>7.5</v>
          </cell>
          <cell r="S1452">
            <v>165.6</v>
          </cell>
          <cell r="T1452">
            <v>29.9</v>
          </cell>
          <cell r="U1452">
            <v>0</v>
          </cell>
          <cell r="BA1452">
            <v>195.5</v>
          </cell>
          <cell r="BB1452">
            <v>0</v>
          </cell>
          <cell r="BF1452" t="str">
            <v>Ok</v>
          </cell>
        </row>
        <row r="1453">
          <cell r="B1453" t="str">
            <v>ZAPPA DRIFTWOOD</v>
          </cell>
          <cell r="R1453">
            <v>3.5</v>
          </cell>
          <cell r="S1453">
            <v>94.1</v>
          </cell>
          <cell r="T1453">
            <v>10.9</v>
          </cell>
          <cell r="U1453">
            <v>0</v>
          </cell>
          <cell r="BA1453">
            <v>105</v>
          </cell>
          <cell r="BB1453">
            <v>0</v>
          </cell>
          <cell r="BF1453" t="str">
            <v>Ok</v>
          </cell>
        </row>
        <row r="1454">
          <cell r="B1454" t="str">
            <v>ZAPPA EBONY</v>
          </cell>
          <cell r="R1454">
            <v>1.25</v>
          </cell>
          <cell r="S1454">
            <v>65.2</v>
          </cell>
          <cell r="T1454">
            <v>13.4</v>
          </cell>
          <cell r="U1454">
            <v>0</v>
          </cell>
          <cell r="BA1454">
            <v>78.600000000000009</v>
          </cell>
          <cell r="BB1454">
            <v>0</v>
          </cell>
          <cell r="BF1454" t="str">
            <v>Ok</v>
          </cell>
        </row>
        <row r="1455">
          <cell r="B1455" t="str">
            <v>ZAPPA ESPRESSO</v>
          </cell>
          <cell r="R1455">
            <v>0</v>
          </cell>
          <cell r="S1455">
            <v>50.7</v>
          </cell>
          <cell r="T1455">
            <v>8.6999999999999993</v>
          </cell>
          <cell r="U1455">
            <v>0</v>
          </cell>
          <cell r="BA1455">
            <v>59.400000000000006</v>
          </cell>
          <cell r="BB1455">
            <v>0</v>
          </cell>
          <cell r="BF1455" t="str">
            <v>Ok</v>
          </cell>
        </row>
        <row r="1456">
          <cell r="B1456" t="str">
            <v>ZAPPA FOG</v>
          </cell>
          <cell r="R1456">
            <v>0</v>
          </cell>
          <cell r="S1456">
            <v>183.5</v>
          </cell>
          <cell r="T1456">
            <v>0</v>
          </cell>
          <cell r="U1456">
            <v>0</v>
          </cell>
          <cell r="BA1456">
            <v>183.5</v>
          </cell>
          <cell r="BB1456">
            <v>0</v>
          </cell>
          <cell r="BF1456" t="str">
            <v>Ok</v>
          </cell>
        </row>
        <row r="1457">
          <cell r="B1457" t="str">
            <v>ZAPPA FOSSIL</v>
          </cell>
          <cell r="R1457">
            <v>2.75</v>
          </cell>
          <cell r="S1457">
            <v>105.5</v>
          </cell>
          <cell r="T1457">
            <v>18.2</v>
          </cell>
          <cell r="U1457">
            <v>0</v>
          </cell>
          <cell r="BA1457">
            <v>123.7</v>
          </cell>
          <cell r="BB1457">
            <v>0</v>
          </cell>
          <cell r="BF1457" t="str">
            <v>Ok</v>
          </cell>
        </row>
        <row r="1458">
          <cell r="B1458" t="str">
            <v>ZAPPA ISLAND</v>
          </cell>
          <cell r="R1458">
            <v>0</v>
          </cell>
          <cell r="S1458">
            <v>28.5</v>
          </cell>
          <cell r="T1458">
            <v>16.100000000000001</v>
          </cell>
          <cell r="U1458">
            <v>0</v>
          </cell>
          <cell r="BA1458">
            <v>44.6</v>
          </cell>
          <cell r="BB1458">
            <v>0</v>
          </cell>
          <cell r="BF1458" t="str">
            <v>Ok</v>
          </cell>
        </row>
        <row r="1459">
          <cell r="B1459" t="str">
            <v>ZAPPA NATURE</v>
          </cell>
          <cell r="R1459">
            <v>0</v>
          </cell>
          <cell r="S1459">
            <v>67.2</v>
          </cell>
          <cell r="T1459">
            <v>9.3000000000000007</v>
          </cell>
          <cell r="U1459">
            <v>0</v>
          </cell>
          <cell r="BA1459">
            <v>76.5</v>
          </cell>
          <cell r="BB1459">
            <v>0</v>
          </cell>
          <cell r="BF1459" t="str">
            <v>Ok</v>
          </cell>
        </row>
        <row r="1460">
          <cell r="B1460" t="str">
            <v>ZAPPA NUTMEG</v>
          </cell>
          <cell r="R1460">
            <v>9.0500000000000007</v>
          </cell>
          <cell r="S1460">
            <v>65.5</v>
          </cell>
          <cell r="T1460">
            <v>17.7</v>
          </cell>
          <cell r="U1460">
            <v>0</v>
          </cell>
          <cell r="BA1460">
            <v>83.2</v>
          </cell>
          <cell r="BB1460">
            <v>0</v>
          </cell>
          <cell r="BF1460" t="str">
            <v>Ok</v>
          </cell>
        </row>
        <row r="1461">
          <cell r="B1461" t="str">
            <v>ZAPPA RAISIN</v>
          </cell>
          <cell r="R1461">
            <v>1.25</v>
          </cell>
          <cell r="S1461">
            <v>122</v>
          </cell>
          <cell r="T1461">
            <v>0</v>
          </cell>
          <cell r="U1461">
            <v>0</v>
          </cell>
          <cell r="BA1461">
            <v>122</v>
          </cell>
          <cell r="BB1461">
            <v>0</v>
          </cell>
          <cell r="BF1461" t="str">
            <v>Ok</v>
          </cell>
        </row>
        <row r="1462">
          <cell r="B1462" t="str">
            <v>ZAPPA SAND</v>
          </cell>
          <cell r="R1462">
            <v>2</v>
          </cell>
          <cell r="S1462">
            <v>42</v>
          </cell>
          <cell r="T1462">
            <v>0</v>
          </cell>
          <cell r="U1462">
            <v>105.8</v>
          </cell>
          <cell r="BA1462">
            <v>147.80000000000001</v>
          </cell>
          <cell r="BB1462">
            <v>0</v>
          </cell>
          <cell r="BF1462" t="str">
            <v>Ok</v>
          </cell>
        </row>
        <row r="1463">
          <cell r="B1463" t="str">
            <v>ZAPPA SINATRA</v>
          </cell>
          <cell r="R1463">
            <v>0</v>
          </cell>
          <cell r="S1463">
            <v>30.1</v>
          </cell>
          <cell r="T1463">
            <v>5.35</v>
          </cell>
          <cell r="U1463">
            <v>0</v>
          </cell>
          <cell r="BA1463">
            <v>35.450000000000003</v>
          </cell>
          <cell r="BB1463">
            <v>0</v>
          </cell>
          <cell r="BF1463" t="str">
            <v>Ok</v>
          </cell>
        </row>
        <row r="1464">
          <cell r="B1464" t="str">
            <v>ZENA DENIM</v>
          </cell>
          <cell r="R1464">
            <v>6.5</v>
          </cell>
          <cell r="S1464">
            <v>384.1</v>
          </cell>
          <cell r="T1464">
            <v>0</v>
          </cell>
          <cell r="U1464">
            <v>0</v>
          </cell>
          <cell r="BA1464">
            <v>384.1</v>
          </cell>
          <cell r="BB1464">
            <v>0</v>
          </cell>
          <cell r="BF1464" t="str">
            <v>Ok</v>
          </cell>
        </row>
        <row r="1465">
          <cell r="B1465" t="str">
            <v>ZENA EBONY</v>
          </cell>
          <cell r="R1465">
            <v>16.024999999999999</v>
          </cell>
          <cell r="S1465">
            <v>0</v>
          </cell>
          <cell r="T1465">
            <v>0</v>
          </cell>
          <cell r="U1465">
            <v>310.39999999999998</v>
          </cell>
          <cell r="BA1465">
            <v>310.39999999999998</v>
          </cell>
          <cell r="BB1465">
            <v>400</v>
          </cell>
          <cell r="BF1465" t="str">
            <v>Resurtir</v>
          </cell>
        </row>
        <row r="1466">
          <cell r="B1466" t="str">
            <v>ZENA LINEN</v>
          </cell>
          <cell r="R1466">
            <v>76.875</v>
          </cell>
          <cell r="S1466">
            <v>197.3</v>
          </cell>
          <cell r="T1466">
            <v>16.45</v>
          </cell>
          <cell r="U1466">
            <v>0</v>
          </cell>
          <cell r="BA1466">
            <v>525.75</v>
          </cell>
          <cell r="BB1466">
            <v>250</v>
          </cell>
          <cell r="BF1466" t="str">
            <v>Ok</v>
          </cell>
        </row>
        <row r="1467">
          <cell r="B1467" t="str">
            <v>ZENA NATURAL</v>
          </cell>
          <cell r="R1467">
            <v>166.05</v>
          </cell>
          <cell r="S1467">
            <v>133.5</v>
          </cell>
          <cell r="T1467">
            <v>43.4</v>
          </cell>
          <cell r="U1467">
            <v>0</v>
          </cell>
          <cell r="BA1467">
            <v>476.9</v>
          </cell>
          <cell r="BB1467">
            <v>300</v>
          </cell>
          <cell r="BF1467" t="str">
            <v>Resurtir</v>
          </cell>
        </row>
        <row r="1468">
          <cell r="B1468" t="str">
            <v>ZENA PORCELAIN</v>
          </cell>
          <cell r="R1468">
            <v>42</v>
          </cell>
          <cell r="S1468">
            <v>292.3</v>
          </cell>
          <cell r="T1468">
            <v>39.450000000000003</v>
          </cell>
          <cell r="U1468">
            <v>187</v>
          </cell>
          <cell r="BA1468">
            <v>518.75</v>
          </cell>
          <cell r="BB1468">
            <v>30</v>
          </cell>
          <cell r="BF1468" t="str">
            <v>Ok</v>
          </cell>
        </row>
        <row r="1469">
          <cell r="B1469" t="str">
            <v>ZENA PUTTY</v>
          </cell>
          <cell r="R1469">
            <v>54.875</v>
          </cell>
          <cell r="S1469">
            <v>113.6</v>
          </cell>
          <cell r="T1469">
            <v>5.7</v>
          </cell>
          <cell r="U1469">
            <v>0</v>
          </cell>
          <cell r="BA1469">
            <v>327.3</v>
          </cell>
          <cell r="BB1469">
            <v>100</v>
          </cell>
          <cell r="BF1469" t="str">
            <v>Ok</v>
          </cell>
        </row>
        <row r="1470">
          <cell r="B1470" t="str">
            <v>ZENA SHADOW</v>
          </cell>
          <cell r="R1470">
            <v>27.4</v>
          </cell>
          <cell r="S1470">
            <v>414.8</v>
          </cell>
          <cell r="T1470">
            <v>8.8000000000000007</v>
          </cell>
          <cell r="U1470">
            <v>0</v>
          </cell>
          <cell r="BA1470">
            <v>423.6</v>
          </cell>
          <cell r="BB1470">
            <v>150</v>
          </cell>
          <cell r="BF1470" t="str">
            <v>Ok</v>
          </cell>
        </row>
        <row r="1471">
          <cell r="B1471" t="str">
            <v>ZENA THUNDER</v>
          </cell>
          <cell r="R1471">
            <v>96.074999999999989</v>
          </cell>
          <cell r="S1471">
            <v>72.2</v>
          </cell>
          <cell r="T1471">
            <v>6.25</v>
          </cell>
          <cell r="U1471">
            <v>0</v>
          </cell>
          <cell r="BA1471">
            <v>578.45000000000005</v>
          </cell>
          <cell r="BB1471">
            <v>150</v>
          </cell>
          <cell r="BF1471" t="str">
            <v>Ok</v>
          </cell>
        </row>
        <row r="1472">
          <cell r="B1472" t="str">
            <v>ZENA WINTER</v>
          </cell>
          <cell r="R1472">
            <v>23.524999999999999</v>
          </cell>
          <cell r="S1472">
            <v>696.5</v>
          </cell>
          <cell r="T1472">
            <v>51.6</v>
          </cell>
          <cell r="U1472">
            <v>0</v>
          </cell>
          <cell r="BA1472">
            <v>748.1</v>
          </cell>
          <cell r="BB1472">
            <v>150</v>
          </cell>
          <cell r="BF1472" t="str">
            <v>Ok</v>
          </cell>
        </row>
        <row r="1473">
          <cell r="B1473" t="str">
            <v>ZENITH AQUA</v>
          </cell>
          <cell r="R1473">
            <v>10.450000000000001</v>
          </cell>
          <cell r="S1473">
            <v>134.4</v>
          </cell>
          <cell r="T1473">
            <v>24.6</v>
          </cell>
          <cell r="U1473">
            <v>0</v>
          </cell>
          <cell r="BA1473">
            <v>159</v>
          </cell>
          <cell r="BB1473">
            <v>0</v>
          </cell>
          <cell r="BF1473" t="str">
            <v>Ok</v>
          </cell>
        </row>
        <row r="1474">
          <cell r="B1474" t="str">
            <v>ZENITH AQUA-K</v>
          </cell>
          <cell r="R1474">
            <v>7.875</v>
          </cell>
          <cell r="S1474">
            <v>888.4</v>
          </cell>
          <cell r="T1474">
            <v>16</v>
          </cell>
          <cell r="U1474">
            <v>0</v>
          </cell>
          <cell r="BA1474">
            <v>904.4</v>
          </cell>
          <cell r="BB1474">
            <v>0</v>
          </cell>
          <cell r="BF1474" t="str">
            <v>Ok</v>
          </cell>
        </row>
        <row r="1475">
          <cell r="B1475" t="str">
            <v>ZENITH BLACK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BA1475">
            <v>0</v>
          </cell>
          <cell r="BB1475">
            <v>0</v>
          </cell>
          <cell r="BF1475" t="str">
            <v>Resurtir</v>
          </cell>
        </row>
        <row r="1476">
          <cell r="B1476" t="str">
            <v>ZENITH BLACK-K</v>
          </cell>
          <cell r="R1476">
            <v>0</v>
          </cell>
          <cell r="S1476">
            <v>724.1</v>
          </cell>
          <cell r="T1476">
            <v>7.3</v>
          </cell>
          <cell r="U1476">
            <v>0</v>
          </cell>
          <cell r="BA1476">
            <v>731.4</v>
          </cell>
          <cell r="BB1476">
            <v>0</v>
          </cell>
          <cell r="BF1476" t="str">
            <v>Ok</v>
          </cell>
        </row>
        <row r="1477">
          <cell r="B1477" t="str">
            <v>ZENITH BRICK</v>
          </cell>
          <cell r="R1477">
            <v>23.5</v>
          </cell>
          <cell r="S1477">
            <v>134.1</v>
          </cell>
          <cell r="T1477">
            <v>14.1</v>
          </cell>
          <cell r="U1477">
            <v>0</v>
          </cell>
          <cell r="BA1477">
            <v>188.2</v>
          </cell>
          <cell r="BB1477">
            <v>0</v>
          </cell>
          <cell r="BF1477" t="str">
            <v>Ok</v>
          </cell>
        </row>
        <row r="1478">
          <cell r="B1478" t="str">
            <v>ZENITH BUTTERCUP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BA1478">
            <v>0</v>
          </cell>
          <cell r="BB1478">
            <v>0</v>
          </cell>
          <cell r="BF1478" t="str">
            <v>Resurtir</v>
          </cell>
        </row>
        <row r="1479">
          <cell r="B1479" t="str">
            <v>ZENITH BUTTERCUP-K</v>
          </cell>
          <cell r="R1479">
            <v>1.5</v>
          </cell>
          <cell r="S1479">
            <v>695.1</v>
          </cell>
          <cell r="T1479">
            <v>15</v>
          </cell>
          <cell r="U1479">
            <v>0</v>
          </cell>
          <cell r="BA1479">
            <v>710.1</v>
          </cell>
          <cell r="BB1479">
            <v>0</v>
          </cell>
          <cell r="BF1479" t="str">
            <v>Ok</v>
          </cell>
        </row>
        <row r="1480">
          <cell r="B1480" t="str">
            <v>ZENITH COBALT</v>
          </cell>
          <cell r="R1480">
            <v>10.375</v>
          </cell>
          <cell r="S1480">
            <v>0</v>
          </cell>
          <cell r="T1480">
            <v>24.86</v>
          </cell>
          <cell r="U1480">
            <v>44.5</v>
          </cell>
          <cell r="BA1480">
            <v>116.36</v>
          </cell>
          <cell r="BB1480">
            <v>50</v>
          </cell>
          <cell r="BF1480" t="str">
            <v>Ok</v>
          </cell>
        </row>
        <row r="1481">
          <cell r="B1481" t="str">
            <v>ZENITH COBALT K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BA1481">
            <v>0</v>
          </cell>
          <cell r="BB1481">
            <v>0</v>
          </cell>
          <cell r="BF1481" t="str">
            <v>Resurtir</v>
          </cell>
        </row>
        <row r="1482">
          <cell r="B1482" t="str">
            <v>ZENITH COCOA</v>
          </cell>
          <cell r="R1482">
            <v>0</v>
          </cell>
          <cell r="S1482">
            <v>102.25</v>
          </cell>
          <cell r="T1482">
            <v>0</v>
          </cell>
          <cell r="U1482">
            <v>410.2</v>
          </cell>
          <cell r="BA1482">
            <v>512.45000000000005</v>
          </cell>
          <cell r="BB1482">
            <v>0</v>
          </cell>
          <cell r="BF1482" t="str">
            <v>Ok</v>
          </cell>
        </row>
        <row r="1483">
          <cell r="B1483" t="str">
            <v>ZENITH COCOA-K</v>
          </cell>
          <cell r="R1483">
            <v>0.3</v>
          </cell>
          <cell r="S1483">
            <v>0</v>
          </cell>
          <cell r="T1483">
            <v>34.4</v>
          </cell>
          <cell r="U1483">
            <v>0</v>
          </cell>
          <cell r="BA1483">
            <v>34.4</v>
          </cell>
          <cell r="BB1483">
            <v>0</v>
          </cell>
          <cell r="BF1483" t="str">
            <v>Ok</v>
          </cell>
        </row>
        <row r="1484">
          <cell r="B1484" t="str">
            <v>ZENITH CORAL</v>
          </cell>
          <cell r="R1484">
            <v>27.75</v>
          </cell>
          <cell r="S1484">
            <v>170.1</v>
          </cell>
          <cell r="T1484">
            <v>22.5</v>
          </cell>
          <cell r="U1484">
            <v>0</v>
          </cell>
          <cell r="BA1484">
            <v>192.6</v>
          </cell>
          <cell r="BB1484">
            <v>0</v>
          </cell>
          <cell r="BF1484" t="str">
            <v>Ok</v>
          </cell>
        </row>
        <row r="1485">
          <cell r="B1485" t="str">
            <v>ZENITH EMERALD</v>
          </cell>
          <cell r="R1485">
            <v>31.55</v>
          </cell>
          <cell r="S1485">
            <v>0</v>
          </cell>
          <cell r="T1485">
            <v>8.9</v>
          </cell>
          <cell r="U1485">
            <v>0</v>
          </cell>
          <cell r="BA1485">
            <v>185.9</v>
          </cell>
          <cell r="BB1485">
            <v>0</v>
          </cell>
          <cell r="BF1485" t="str">
            <v>Ok</v>
          </cell>
        </row>
        <row r="1486">
          <cell r="B1486" t="str">
            <v>ZENITH GRAPE</v>
          </cell>
          <cell r="R1486">
            <v>10.95</v>
          </cell>
          <cell r="S1486">
            <v>47.4</v>
          </cell>
          <cell r="T1486">
            <v>24.75</v>
          </cell>
          <cell r="U1486">
            <v>0</v>
          </cell>
          <cell r="BA1486">
            <v>72.150000000000006</v>
          </cell>
          <cell r="BB1486">
            <v>50</v>
          </cell>
          <cell r="BF1486" t="str">
            <v>Ok</v>
          </cell>
        </row>
        <row r="1487">
          <cell r="B1487" t="str">
            <v>ZENITH MARINE</v>
          </cell>
          <cell r="R1487">
            <v>18.05</v>
          </cell>
          <cell r="S1487">
            <v>23.7</v>
          </cell>
          <cell r="T1487">
            <v>11.3</v>
          </cell>
          <cell r="U1487">
            <v>0</v>
          </cell>
          <cell r="BA1487">
            <v>80</v>
          </cell>
          <cell r="BB1487">
            <v>0</v>
          </cell>
          <cell r="BF1487" t="str">
            <v>Resurtir</v>
          </cell>
        </row>
        <row r="1488">
          <cell r="B1488" t="str">
            <v>ZENITH MARINE-K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BA1488">
            <v>0</v>
          </cell>
          <cell r="BB1488">
            <v>0</v>
          </cell>
          <cell r="BF1488" t="str">
            <v>Resurtir</v>
          </cell>
        </row>
        <row r="1489">
          <cell r="B1489" t="str">
            <v>ZENITH MINERAL</v>
          </cell>
          <cell r="R1489">
            <v>9.375</v>
          </cell>
          <cell r="S1489">
            <v>0</v>
          </cell>
          <cell r="T1489">
            <v>11.53</v>
          </cell>
          <cell r="U1489">
            <v>0</v>
          </cell>
          <cell r="BA1489">
            <v>11.53</v>
          </cell>
          <cell r="BB1489">
            <v>50</v>
          </cell>
          <cell r="BF1489" t="str">
            <v>Resurtir</v>
          </cell>
        </row>
        <row r="1490">
          <cell r="B1490" t="str">
            <v>ZENITH MINERAL-K</v>
          </cell>
          <cell r="R1490">
            <v>26.274999999999999</v>
          </cell>
          <cell r="S1490">
            <v>309.2</v>
          </cell>
          <cell r="T1490">
            <v>20.5</v>
          </cell>
          <cell r="U1490">
            <v>738.2</v>
          </cell>
          <cell r="BA1490">
            <v>1067.9000000000001</v>
          </cell>
          <cell r="BB1490">
            <v>0</v>
          </cell>
          <cell r="BF1490" t="str">
            <v>Ok</v>
          </cell>
        </row>
        <row r="1491">
          <cell r="B1491" t="str">
            <v>ZENITH NATURAL</v>
          </cell>
          <cell r="R1491">
            <v>1.1499999999999999</v>
          </cell>
          <cell r="S1491">
            <v>0</v>
          </cell>
          <cell r="T1491">
            <v>0</v>
          </cell>
          <cell r="U1491">
            <v>43.5</v>
          </cell>
          <cell r="BA1491">
            <v>43.5</v>
          </cell>
          <cell r="BB1491">
            <v>0</v>
          </cell>
          <cell r="BF1491" t="str">
            <v>Ok</v>
          </cell>
        </row>
        <row r="1492">
          <cell r="B1492" t="str">
            <v>ZENITH NATURAL-K</v>
          </cell>
          <cell r="R1492">
            <v>125.82499999999999</v>
          </cell>
          <cell r="S1492">
            <v>847.1</v>
          </cell>
          <cell r="T1492">
            <v>37</v>
          </cell>
          <cell r="U1492">
            <v>0</v>
          </cell>
          <cell r="BA1492">
            <v>884.1</v>
          </cell>
          <cell r="BB1492">
            <v>0</v>
          </cell>
          <cell r="BF1492" t="str">
            <v>Ok</v>
          </cell>
        </row>
        <row r="1493">
          <cell r="B1493" t="str">
            <v>ZENITH OCEAN</v>
          </cell>
          <cell r="R1493">
            <v>32.5</v>
          </cell>
          <cell r="S1493">
            <v>0</v>
          </cell>
          <cell r="T1493">
            <v>17.7</v>
          </cell>
          <cell r="U1493">
            <v>0</v>
          </cell>
          <cell r="BA1493">
            <v>167.7</v>
          </cell>
          <cell r="BB1493">
            <v>0</v>
          </cell>
          <cell r="BF1493" t="str">
            <v>Ok</v>
          </cell>
        </row>
        <row r="1494">
          <cell r="B1494" t="str">
            <v>ZENITH RED</v>
          </cell>
          <cell r="R1494">
            <v>5.75</v>
          </cell>
          <cell r="S1494">
            <v>46.5</v>
          </cell>
          <cell r="T1494">
            <v>16.3</v>
          </cell>
          <cell r="U1494">
            <v>0</v>
          </cell>
          <cell r="BA1494">
            <v>62.8</v>
          </cell>
          <cell r="BB1494">
            <v>0</v>
          </cell>
          <cell r="BF1494" t="str">
            <v>Ok</v>
          </cell>
        </row>
        <row r="1495">
          <cell r="B1495" t="str">
            <v>ZENITH SNOW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BA1495">
            <v>0</v>
          </cell>
          <cell r="BB1495">
            <v>0</v>
          </cell>
          <cell r="BF1495" t="str">
            <v>Resurtir</v>
          </cell>
        </row>
        <row r="1496">
          <cell r="B1496" t="str">
            <v>ZENITH SNOW-K</v>
          </cell>
          <cell r="R1496">
            <v>11.15</v>
          </cell>
          <cell r="S1496">
            <v>309.89999999999998</v>
          </cell>
          <cell r="T1496">
            <v>46.9</v>
          </cell>
          <cell r="U1496">
            <v>0</v>
          </cell>
          <cell r="BA1496">
            <v>356.79999999999995</v>
          </cell>
          <cell r="BB1496">
            <v>0</v>
          </cell>
          <cell r="BF1496" t="str">
            <v>Ok</v>
          </cell>
        </row>
        <row r="1497">
          <cell r="B1497" t="str">
            <v>ZENITH STONE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BA1497">
            <v>53</v>
          </cell>
          <cell r="BB1497">
            <v>0</v>
          </cell>
          <cell r="BF1497" t="str">
            <v>Ok</v>
          </cell>
        </row>
        <row r="1498">
          <cell r="B1498" t="str">
            <v>ZENITH STONE-K</v>
          </cell>
          <cell r="R1498">
            <v>35.725000000000001</v>
          </cell>
          <cell r="S1498">
            <v>89.8</v>
          </cell>
          <cell r="T1498">
            <v>8</v>
          </cell>
          <cell r="U1498">
            <v>0</v>
          </cell>
          <cell r="BA1498">
            <v>97.8</v>
          </cell>
          <cell r="BB1498">
            <v>50</v>
          </cell>
          <cell r="BF1498" t="str">
            <v>Resurtir</v>
          </cell>
        </row>
        <row r="1499">
          <cell r="B1499" t="str">
            <v>ZENITH TOFFEE</v>
          </cell>
          <cell r="R1499">
            <v>39.174999999999997</v>
          </cell>
          <cell r="S1499">
            <v>63.25</v>
          </cell>
          <cell r="T1499">
            <v>19.899999999999999</v>
          </cell>
          <cell r="U1499">
            <v>0</v>
          </cell>
          <cell r="BA1499">
            <v>175.15</v>
          </cell>
          <cell r="BB1499">
            <v>0</v>
          </cell>
          <cell r="BF1499" t="str">
            <v>Resurtir</v>
          </cell>
        </row>
        <row r="1500">
          <cell r="B1500" t="str">
            <v>ZENITH TOFFEE-K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BA1500">
            <v>0</v>
          </cell>
          <cell r="BB1500">
            <v>0</v>
          </cell>
          <cell r="BF1500" t="str">
            <v>Resurtir</v>
          </cell>
        </row>
        <row r="1501">
          <cell r="B1501" t="str">
            <v>ZENITH TUSK</v>
          </cell>
          <cell r="R1501">
            <v>5.75</v>
          </cell>
          <cell r="S1501">
            <v>0</v>
          </cell>
          <cell r="T1501">
            <v>0</v>
          </cell>
          <cell r="U1501">
            <v>0</v>
          </cell>
          <cell r="BA1501">
            <v>0</v>
          </cell>
          <cell r="BB1501">
            <v>0</v>
          </cell>
          <cell r="BF1501" t="str">
            <v>Resurtir</v>
          </cell>
        </row>
        <row r="1502">
          <cell r="B1502" t="str">
            <v>ZENITH TUSK-K</v>
          </cell>
          <cell r="R1502">
            <v>109.02499999999999</v>
          </cell>
          <cell r="S1502">
            <v>511.7</v>
          </cell>
          <cell r="T1502">
            <v>32.299999999999997</v>
          </cell>
          <cell r="U1502">
            <v>0</v>
          </cell>
          <cell r="BA1502">
            <v>544</v>
          </cell>
          <cell r="BB1502">
            <v>150</v>
          </cell>
          <cell r="BF1502" t="str">
            <v>Ok</v>
          </cell>
        </row>
        <row r="1503">
          <cell r="B1503" t="str">
            <v>ZENITH ZINC</v>
          </cell>
          <cell r="R1503">
            <v>4.75</v>
          </cell>
          <cell r="S1503">
            <v>104.8</v>
          </cell>
          <cell r="T1503">
            <v>0</v>
          </cell>
          <cell r="U1503">
            <v>42.7</v>
          </cell>
          <cell r="BA1503">
            <v>147.5</v>
          </cell>
          <cell r="BB1503">
            <v>0</v>
          </cell>
          <cell r="BF1503" t="str">
            <v>Ok</v>
          </cell>
        </row>
        <row r="1504">
          <cell r="B1504" t="str">
            <v>ZENITH ZINC-K</v>
          </cell>
          <cell r="R1504">
            <v>2.8250000000000002</v>
          </cell>
          <cell r="S1504">
            <v>0</v>
          </cell>
          <cell r="T1504">
            <v>6.1</v>
          </cell>
          <cell r="U1504">
            <v>0</v>
          </cell>
          <cell r="BA1504">
            <v>6.1</v>
          </cell>
          <cell r="BB1504">
            <v>0</v>
          </cell>
          <cell r="BF1504" t="str">
            <v>Resurtir</v>
          </cell>
        </row>
        <row r="1505">
          <cell r="B1505" t="str">
            <v>BARBADOS BROWN</v>
          </cell>
          <cell r="R1505">
            <v>0</v>
          </cell>
          <cell r="S1505">
            <v>33.770000000000003</v>
          </cell>
          <cell r="T1505">
            <v>0</v>
          </cell>
          <cell r="U1505">
            <v>0</v>
          </cell>
          <cell r="BA1505">
            <v>384.77</v>
          </cell>
          <cell r="BB1505">
            <v>0</v>
          </cell>
          <cell r="BF1505" t="str">
            <v>Ok</v>
          </cell>
        </row>
        <row r="1506">
          <cell r="B1506" t="str">
            <v>BARBADOS CHARCOAL</v>
          </cell>
          <cell r="R1506">
            <v>0</v>
          </cell>
          <cell r="S1506">
            <v>35.229999999999997</v>
          </cell>
          <cell r="T1506">
            <v>0</v>
          </cell>
          <cell r="U1506">
            <v>0</v>
          </cell>
          <cell r="BA1506">
            <v>385.23</v>
          </cell>
          <cell r="BB1506">
            <v>0</v>
          </cell>
          <cell r="BF1506" t="str">
            <v>Ok</v>
          </cell>
        </row>
        <row r="1507">
          <cell r="B1507" t="str">
            <v>BARBADOS CREAM</v>
          </cell>
          <cell r="R1507">
            <v>0</v>
          </cell>
          <cell r="S1507">
            <v>33.67</v>
          </cell>
          <cell r="T1507">
            <v>0</v>
          </cell>
          <cell r="U1507">
            <v>0</v>
          </cell>
          <cell r="BA1507">
            <v>486.67</v>
          </cell>
          <cell r="BB1507">
            <v>0</v>
          </cell>
          <cell r="BF1507" t="str">
            <v>Ok</v>
          </cell>
        </row>
        <row r="1508">
          <cell r="B1508" t="str">
            <v>BARBADOS HEMP</v>
          </cell>
          <cell r="R1508">
            <v>0</v>
          </cell>
          <cell r="S1508">
            <v>40.01</v>
          </cell>
          <cell r="T1508">
            <v>0</v>
          </cell>
          <cell r="U1508">
            <v>0</v>
          </cell>
          <cell r="BA1508">
            <v>492.01</v>
          </cell>
          <cell r="BB1508">
            <v>0</v>
          </cell>
          <cell r="BF1508" t="str">
            <v>Ok</v>
          </cell>
        </row>
        <row r="1509">
          <cell r="B1509" t="str">
            <v>BARBADOS OCEAN</v>
          </cell>
          <cell r="R1509">
            <v>0</v>
          </cell>
          <cell r="S1509">
            <v>44.83</v>
          </cell>
          <cell r="T1509">
            <v>0</v>
          </cell>
          <cell r="U1509">
            <v>0</v>
          </cell>
          <cell r="BA1509">
            <v>295.83</v>
          </cell>
          <cell r="BB1509">
            <v>0</v>
          </cell>
          <cell r="BF1509" t="str">
            <v>Ok</v>
          </cell>
        </row>
        <row r="1510">
          <cell r="B1510" t="str">
            <v>CIZGI BERBER</v>
          </cell>
          <cell r="R1510">
            <v>0</v>
          </cell>
          <cell r="S1510">
            <v>34.31</v>
          </cell>
          <cell r="T1510">
            <v>0</v>
          </cell>
          <cell r="U1510">
            <v>0</v>
          </cell>
          <cell r="BA1510">
            <v>281.31</v>
          </cell>
          <cell r="BB1510">
            <v>0</v>
          </cell>
          <cell r="BF1510" t="str">
            <v>Ok</v>
          </cell>
        </row>
        <row r="1511">
          <cell r="B1511" t="str">
            <v>CIZGI PRISM</v>
          </cell>
          <cell r="R1511">
            <v>0</v>
          </cell>
          <cell r="S1511">
            <v>31.85</v>
          </cell>
          <cell r="T1511">
            <v>0</v>
          </cell>
          <cell r="U1511">
            <v>0</v>
          </cell>
          <cell r="BA1511">
            <v>277.85000000000002</v>
          </cell>
          <cell r="BB1511">
            <v>0</v>
          </cell>
          <cell r="BF1511" t="str">
            <v>Ok</v>
          </cell>
        </row>
        <row r="1512">
          <cell r="B1512" t="str">
            <v>DOTZ CANDY</v>
          </cell>
          <cell r="R1512">
            <v>0</v>
          </cell>
          <cell r="S1512">
            <v>31.94</v>
          </cell>
          <cell r="T1512">
            <v>0</v>
          </cell>
          <cell r="U1512">
            <v>0</v>
          </cell>
          <cell r="BA1512">
            <v>275.94</v>
          </cell>
          <cell r="BB1512">
            <v>0</v>
          </cell>
          <cell r="BF1512" t="str">
            <v>Ok</v>
          </cell>
        </row>
        <row r="1513">
          <cell r="B1513" t="str">
            <v>GRAND TOUR SPA</v>
          </cell>
          <cell r="R1513">
            <v>0</v>
          </cell>
          <cell r="S1513">
            <v>23.32</v>
          </cell>
          <cell r="T1513">
            <v>15.23</v>
          </cell>
          <cell r="U1513">
            <v>0</v>
          </cell>
          <cell r="BA1513">
            <v>285.55</v>
          </cell>
          <cell r="BB1513">
            <v>0</v>
          </cell>
          <cell r="BF1513" t="str">
            <v>Ok</v>
          </cell>
        </row>
        <row r="1514">
          <cell r="B1514" t="str">
            <v>HAYDEN SAND</v>
          </cell>
          <cell r="R1514">
            <v>0</v>
          </cell>
          <cell r="S1514">
            <v>32.75</v>
          </cell>
          <cell r="T1514">
            <v>0</v>
          </cell>
          <cell r="U1514">
            <v>0</v>
          </cell>
          <cell r="BA1514">
            <v>468.75</v>
          </cell>
          <cell r="BB1514">
            <v>0</v>
          </cell>
          <cell r="BF1514" t="str">
            <v>Ok</v>
          </cell>
        </row>
        <row r="1515">
          <cell r="B1515" t="str">
            <v>HAYDEN TAUPE</v>
          </cell>
          <cell r="R1515">
            <v>15.363333333333335</v>
          </cell>
          <cell r="S1515">
            <v>0</v>
          </cell>
          <cell r="T1515">
            <v>0</v>
          </cell>
          <cell r="U1515">
            <v>0</v>
          </cell>
          <cell r="BA1515">
            <v>238</v>
          </cell>
          <cell r="BB1515">
            <v>100</v>
          </cell>
          <cell r="BF1515" t="str">
            <v>Ok</v>
          </cell>
        </row>
        <row r="1516">
          <cell r="B1516" t="str">
            <v>ISLE OF PALMS BISQUE</v>
          </cell>
          <cell r="R1516">
            <v>0</v>
          </cell>
          <cell r="S1516">
            <v>35.31</v>
          </cell>
          <cell r="T1516">
            <v>0</v>
          </cell>
          <cell r="U1516">
            <v>0</v>
          </cell>
          <cell r="BA1516">
            <v>464.31</v>
          </cell>
          <cell r="BB1516">
            <v>0</v>
          </cell>
          <cell r="BF1516" t="str">
            <v>Ok</v>
          </cell>
        </row>
        <row r="1517">
          <cell r="B1517" t="str">
            <v>ISLE OF PALMS INDIGO</v>
          </cell>
          <cell r="R1517">
            <v>15.909999999999998</v>
          </cell>
          <cell r="S1517">
            <v>0</v>
          </cell>
          <cell r="T1517">
            <v>0</v>
          </cell>
          <cell r="U1517">
            <v>0</v>
          </cell>
          <cell r="BA1517">
            <v>200</v>
          </cell>
          <cell r="BB1517">
            <v>100</v>
          </cell>
          <cell r="BF1517" t="str">
            <v>Ok</v>
          </cell>
        </row>
        <row r="1518">
          <cell r="B1518" t="str">
            <v>ISLE OF PALMS LATTE</v>
          </cell>
          <cell r="R1518">
            <v>0</v>
          </cell>
          <cell r="S1518">
            <v>38.729999999999997</v>
          </cell>
          <cell r="T1518">
            <v>0</v>
          </cell>
          <cell r="U1518">
            <v>0</v>
          </cell>
          <cell r="BA1518">
            <v>376.73</v>
          </cell>
          <cell r="BB1518">
            <v>0</v>
          </cell>
          <cell r="BF1518" t="str">
            <v>Ok</v>
          </cell>
        </row>
        <row r="1519">
          <cell r="B1519" t="str">
            <v>ISLE OF PALMS MINT</v>
          </cell>
          <cell r="R1519">
            <v>16.336666666666666</v>
          </cell>
          <cell r="S1519">
            <v>0</v>
          </cell>
          <cell r="T1519">
            <v>0</v>
          </cell>
          <cell r="U1519">
            <v>0</v>
          </cell>
          <cell r="BA1519">
            <v>91</v>
          </cell>
          <cell r="BB1519">
            <v>100</v>
          </cell>
          <cell r="BF1519" t="str">
            <v>Resurtir</v>
          </cell>
        </row>
        <row r="1520">
          <cell r="B1520" t="str">
            <v>ISLE OF PALMS NATURAL</v>
          </cell>
          <cell r="R1520">
            <v>15.88</v>
          </cell>
          <cell r="S1520">
            <v>0</v>
          </cell>
          <cell r="T1520">
            <v>0</v>
          </cell>
          <cell r="U1520">
            <v>0</v>
          </cell>
          <cell r="BA1520">
            <v>243</v>
          </cell>
          <cell r="BB1520">
            <v>100</v>
          </cell>
          <cell r="BF1520" t="str">
            <v>Ok</v>
          </cell>
        </row>
        <row r="1521">
          <cell r="B1521" t="str">
            <v>ISLE OF PALMS SKY</v>
          </cell>
          <cell r="R1521">
            <v>16.063333333333333</v>
          </cell>
          <cell r="S1521">
            <v>0</v>
          </cell>
          <cell r="T1521">
            <v>0</v>
          </cell>
          <cell r="U1521">
            <v>0</v>
          </cell>
          <cell r="BA1521">
            <v>137</v>
          </cell>
          <cell r="BB1521">
            <v>100</v>
          </cell>
          <cell r="BF1521" t="str">
            <v>Ok</v>
          </cell>
        </row>
        <row r="1522">
          <cell r="B1522" t="str">
            <v>ISLE OF PALMS WHEAT</v>
          </cell>
          <cell r="R1522">
            <v>15.82</v>
          </cell>
          <cell r="S1522">
            <v>0</v>
          </cell>
          <cell r="T1522">
            <v>0</v>
          </cell>
          <cell r="U1522">
            <v>0</v>
          </cell>
          <cell r="BA1522">
            <v>250</v>
          </cell>
          <cell r="BB1522">
            <v>100</v>
          </cell>
          <cell r="BF1522" t="str">
            <v>Ok</v>
          </cell>
        </row>
        <row r="1523">
          <cell r="B1523" t="str">
            <v>JANSEN DENIM</v>
          </cell>
          <cell r="R1523">
            <v>0</v>
          </cell>
          <cell r="S1523">
            <v>37.97</v>
          </cell>
          <cell r="T1523">
            <v>0</v>
          </cell>
          <cell r="U1523">
            <v>0</v>
          </cell>
          <cell r="BA1523">
            <v>294.97000000000003</v>
          </cell>
          <cell r="BB1523">
            <v>0</v>
          </cell>
          <cell r="BF1523" t="str">
            <v>Ok</v>
          </cell>
        </row>
        <row r="1524">
          <cell r="B1524" t="str">
            <v>JANSEN EUCALYPTUS</v>
          </cell>
          <cell r="R1524">
            <v>0</v>
          </cell>
          <cell r="S1524">
            <v>38.24</v>
          </cell>
          <cell r="T1524">
            <v>0</v>
          </cell>
          <cell r="U1524">
            <v>0</v>
          </cell>
          <cell r="BA1524">
            <v>289.24</v>
          </cell>
          <cell r="BB1524">
            <v>0</v>
          </cell>
          <cell r="BF1524" t="str">
            <v>Ok</v>
          </cell>
        </row>
        <row r="1525">
          <cell r="B1525" t="str">
            <v>JANSEN MINERAL</v>
          </cell>
          <cell r="R1525">
            <v>0</v>
          </cell>
          <cell r="S1525">
            <v>38.33</v>
          </cell>
          <cell r="T1525">
            <v>0</v>
          </cell>
          <cell r="U1525">
            <v>0</v>
          </cell>
          <cell r="BA1525">
            <v>289.33</v>
          </cell>
          <cell r="BB1525">
            <v>0</v>
          </cell>
          <cell r="BF1525" t="str">
            <v>Ok</v>
          </cell>
        </row>
        <row r="1526">
          <cell r="B1526" t="str">
            <v>LEEWARD CHARCOAL</v>
          </cell>
          <cell r="R1526">
            <v>17.283333333333331</v>
          </cell>
          <cell r="S1526">
            <v>0</v>
          </cell>
          <cell r="T1526">
            <v>0</v>
          </cell>
          <cell r="U1526">
            <v>0</v>
          </cell>
          <cell r="BA1526">
            <v>151</v>
          </cell>
          <cell r="BB1526">
            <v>100</v>
          </cell>
          <cell r="BF1526" t="str">
            <v>Ok</v>
          </cell>
        </row>
        <row r="1527">
          <cell r="B1527" t="str">
            <v>LOVEBOAT AMETHYST</v>
          </cell>
          <cell r="R1527">
            <v>0</v>
          </cell>
          <cell r="S1527">
            <v>36.78</v>
          </cell>
          <cell r="T1527">
            <v>0</v>
          </cell>
          <cell r="U1527">
            <v>0</v>
          </cell>
          <cell r="BA1527">
            <v>286.77999999999997</v>
          </cell>
          <cell r="BB1527">
            <v>0</v>
          </cell>
          <cell r="BF1527" t="str">
            <v>Ok</v>
          </cell>
        </row>
        <row r="1528">
          <cell r="B1528" t="str">
            <v>LOVEBOAT BLUESTONE</v>
          </cell>
          <cell r="R1528">
            <v>0</v>
          </cell>
          <cell r="S1528">
            <v>44.64</v>
          </cell>
          <cell r="T1528">
            <v>0</v>
          </cell>
          <cell r="U1528">
            <v>0</v>
          </cell>
          <cell r="BA1528">
            <v>394.64</v>
          </cell>
          <cell r="BB1528">
            <v>0</v>
          </cell>
          <cell r="BF1528" t="str">
            <v>Ok</v>
          </cell>
        </row>
        <row r="1529">
          <cell r="B1529" t="str">
            <v>LOVEBOAT FOSSIL</v>
          </cell>
          <cell r="R1529">
            <v>0</v>
          </cell>
          <cell r="S1529">
            <v>230.64</v>
          </cell>
          <cell r="T1529">
            <v>0</v>
          </cell>
          <cell r="U1529">
            <v>0</v>
          </cell>
          <cell r="BA1529">
            <v>480.64</v>
          </cell>
          <cell r="BB1529">
            <v>0</v>
          </cell>
          <cell r="BF1529" t="str">
            <v>Ok</v>
          </cell>
        </row>
        <row r="1530">
          <cell r="B1530" t="str">
            <v>LOVEBOAT IRON</v>
          </cell>
          <cell r="R1530">
            <v>0</v>
          </cell>
          <cell r="S1530">
            <v>185.19</v>
          </cell>
          <cell r="T1530">
            <v>0</v>
          </cell>
          <cell r="U1530">
            <v>0</v>
          </cell>
          <cell r="BA1530">
            <v>385.19</v>
          </cell>
          <cell r="BB1530">
            <v>0</v>
          </cell>
          <cell r="BF1530" t="str">
            <v>Ok</v>
          </cell>
        </row>
        <row r="1531">
          <cell r="B1531" t="str">
            <v>LOVEBOAT MINT</v>
          </cell>
          <cell r="R1531">
            <v>0</v>
          </cell>
          <cell r="S1531">
            <v>131.24</v>
          </cell>
          <cell r="T1531">
            <v>0</v>
          </cell>
          <cell r="U1531">
            <v>0</v>
          </cell>
          <cell r="BA1531">
            <v>281.24</v>
          </cell>
          <cell r="BB1531">
            <v>0</v>
          </cell>
          <cell r="BF1531" t="str">
            <v>Ok</v>
          </cell>
        </row>
        <row r="1532">
          <cell r="B1532" t="str">
            <v>LOVEBOAT NICKEL</v>
          </cell>
          <cell r="R1532">
            <v>0</v>
          </cell>
          <cell r="S1532">
            <v>230.73</v>
          </cell>
          <cell r="T1532">
            <v>0</v>
          </cell>
          <cell r="U1532">
            <v>0</v>
          </cell>
          <cell r="BA1532">
            <v>480.73</v>
          </cell>
          <cell r="BB1532">
            <v>0</v>
          </cell>
          <cell r="BF1532" t="str">
            <v>Ok</v>
          </cell>
        </row>
        <row r="1533">
          <cell r="B1533" t="str">
            <v>LOVEBOAT OLIVE</v>
          </cell>
          <cell r="R1533">
            <v>0</v>
          </cell>
          <cell r="S1533">
            <v>130.41999999999999</v>
          </cell>
          <cell r="T1533">
            <v>0</v>
          </cell>
          <cell r="U1533">
            <v>0</v>
          </cell>
          <cell r="BA1533">
            <v>280.41999999999996</v>
          </cell>
          <cell r="BB1533">
            <v>0</v>
          </cell>
          <cell r="BF1533" t="str">
            <v>Ok</v>
          </cell>
        </row>
        <row r="1534">
          <cell r="B1534" t="str">
            <v>MENDOZA COASTAL</v>
          </cell>
          <cell r="R1534">
            <v>17.13</v>
          </cell>
          <cell r="S1534">
            <v>0</v>
          </cell>
          <cell r="T1534">
            <v>0</v>
          </cell>
          <cell r="U1534">
            <v>0</v>
          </cell>
          <cell r="BA1534">
            <v>98</v>
          </cell>
          <cell r="BB1534">
            <v>100</v>
          </cell>
          <cell r="BF1534" t="str">
            <v>Resurtir</v>
          </cell>
        </row>
        <row r="1535">
          <cell r="B1535" t="str">
            <v>PYRENEES CHARCOAL</v>
          </cell>
          <cell r="R1535">
            <v>16.33666666666667</v>
          </cell>
          <cell r="S1535">
            <v>0</v>
          </cell>
          <cell r="T1535">
            <v>0</v>
          </cell>
          <cell r="U1535">
            <v>0</v>
          </cell>
          <cell r="BA1535">
            <v>127</v>
          </cell>
          <cell r="BB1535">
            <v>0</v>
          </cell>
          <cell r="BF1535" t="str">
            <v>Ok</v>
          </cell>
        </row>
        <row r="1536">
          <cell r="B1536" t="str">
            <v>PYRENEES STONE</v>
          </cell>
          <cell r="R1536">
            <v>17.556666666666668</v>
          </cell>
          <cell r="S1536">
            <v>0</v>
          </cell>
          <cell r="T1536">
            <v>0</v>
          </cell>
          <cell r="U1536">
            <v>0</v>
          </cell>
          <cell r="BA1536">
            <v>104</v>
          </cell>
          <cell r="BB1536">
            <v>0</v>
          </cell>
          <cell r="BF1536" t="str">
            <v>Ok</v>
          </cell>
        </row>
        <row r="1537">
          <cell r="B1537" t="str">
            <v>ROWAN BLEACH</v>
          </cell>
          <cell r="R1537">
            <v>0</v>
          </cell>
          <cell r="S1537">
            <v>32.67</v>
          </cell>
          <cell r="T1537">
            <v>0</v>
          </cell>
          <cell r="U1537">
            <v>0</v>
          </cell>
          <cell r="BA1537">
            <v>267.67</v>
          </cell>
          <cell r="BB1537">
            <v>0</v>
          </cell>
          <cell r="BF1537" t="str">
            <v>Ok</v>
          </cell>
        </row>
        <row r="1538">
          <cell r="B1538" t="str">
            <v>ROWAN FOG</v>
          </cell>
          <cell r="R1538">
            <v>0</v>
          </cell>
          <cell r="S1538">
            <v>32.21</v>
          </cell>
          <cell r="T1538">
            <v>0</v>
          </cell>
          <cell r="U1538">
            <v>0</v>
          </cell>
          <cell r="BA1538">
            <v>282.21000000000004</v>
          </cell>
          <cell r="BB1538">
            <v>0</v>
          </cell>
          <cell r="BF1538" t="str">
            <v>Ok</v>
          </cell>
        </row>
        <row r="1539">
          <cell r="B1539" t="str">
            <v>SABBATICAL STONE</v>
          </cell>
          <cell r="R1539">
            <v>16.430000000000003</v>
          </cell>
          <cell r="S1539">
            <v>0</v>
          </cell>
          <cell r="T1539">
            <v>0</v>
          </cell>
          <cell r="U1539">
            <v>0</v>
          </cell>
          <cell r="BA1539">
            <v>100</v>
          </cell>
          <cell r="BB1539">
            <v>0</v>
          </cell>
          <cell r="BF1539" t="str">
            <v>Ok</v>
          </cell>
        </row>
        <row r="1540">
          <cell r="B1540" t="str">
            <v>SANDY CEMENT</v>
          </cell>
          <cell r="R1540">
            <v>9.5400000000000009</v>
          </cell>
          <cell r="S1540">
            <v>0</v>
          </cell>
          <cell r="T1540">
            <v>0</v>
          </cell>
          <cell r="U1540">
            <v>0</v>
          </cell>
          <cell r="BA1540">
            <v>250</v>
          </cell>
          <cell r="BB1540">
            <v>50</v>
          </cell>
          <cell r="BF1540" t="str">
            <v>Ok</v>
          </cell>
        </row>
        <row r="1541">
          <cell r="B1541" t="str">
            <v>SANDY COTTON</v>
          </cell>
          <cell r="R1541">
            <v>16.793333333333333</v>
          </cell>
          <cell r="S1541">
            <v>0</v>
          </cell>
          <cell r="T1541">
            <v>0</v>
          </cell>
          <cell r="U1541">
            <v>0</v>
          </cell>
          <cell r="BA1541">
            <v>250</v>
          </cell>
          <cell r="BB1541">
            <v>50</v>
          </cell>
          <cell r="BF1541" t="str">
            <v>Ok</v>
          </cell>
        </row>
        <row r="1542">
          <cell r="B1542" t="str">
            <v>SANDY FLAX</v>
          </cell>
          <cell r="R1542">
            <v>16.306666666666668</v>
          </cell>
          <cell r="S1542">
            <v>0</v>
          </cell>
          <cell r="T1542">
            <v>0</v>
          </cell>
          <cell r="U1542">
            <v>0</v>
          </cell>
          <cell r="BA1542">
            <v>250</v>
          </cell>
          <cell r="BB1542">
            <v>50</v>
          </cell>
          <cell r="BF1542" t="str">
            <v>Ok</v>
          </cell>
        </row>
        <row r="1543">
          <cell r="B1543" t="str">
            <v>SANTOS CHARCOAL</v>
          </cell>
          <cell r="R1543">
            <v>0</v>
          </cell>
          <cell r="S1543">
            <v>36.33</v>
          </cell>
          <cell r="T1543">
            <v>0</v>
          </cell>
          <cell r="U1543">
            <v>0</v>
          </cell>
          <cell r="BA1543">
            <v>387.33</v>
          </cell>
          <cell r="BB1543">
            <v>0</v>
          </cell>
          <cell r="BF1543" t="str">
            <v>Ok</v>
          </cell>
        </row>
        <row r="1544">
          <cell r="B1544" t="str">
            <v>SANTOS KHAKI</v>
          </cell>
          <cell r="R1544">
            <v>16.52</v>
          </cell>
          <cell r="S1544">
            <v>0</v>
          </cell>
          <cell r="T1544">
            <v>0</v>
          </cell>
          <cell r="U1544">
            <v>0</v>
          </cell>
          <cell r="BA1544">
            <v>201</v>
          </cell>
          <cell r="BB1544">
            <v>50</v>
          </cell>
          <cell r="BF1544" t="str">
            <v>Ok</v>
          </cell>
        </row>
        <row r="1545">
          <cell r="B1545" t="str">
            <v>SANTOS LATTE</v>
          </cell>
          <cell r="R1545">
            <v>16.46</v>
          </cell>
          <cell r="S1545">
            <v>0</v>
          </cell>
          <cell r="T1545">
            <v>0</v>
          </cell>
          <cell r="U1545">
            <v>0</v>
          </cell>
          <cell r="BA1545">
            <v>148</v>
          </cell>
          <cell r="BB1545">
            <v>50</v>
          </cell>
          <cell r="BF1545" t="str">
            <v>Ok</v>
          </cell>
        </row>
        <row r="1546">
          <cell r="B1546" t="str">
            <v>SANTOS MIST</v>
          </cell>
          <cell r="R1546">
            <v>0</v>
          </cell>
          <cell r="S1546">
            <v>43.22</v>
          </cell>
          <cell r="T1546">
            <v>0</v>
          </cell>
          <cell r="U1546">
            <v>0</v>
          </cell>
          <cell r="BA1546">
            <v>289.22000000000003</v>
          </cell>
          <cell r="BB1546">
            <v>0</v>
          </cell>
          <cell r="BF1546" t="str">
            <v>Ok</v>
          </cell>
        </row>
        <row r="1547">
          <cell r="B1547" t="str">
            <v>SERENDIPITY SPA</v>
          </cell>
          <cell r="R1547">
            <v>0</v>
          </cell>
          <cell r="S1547">
            <v>25.33</v>
          </cell>
          <cell r="T1547">
            <v>8.6199999999999992</v>
          </cell>
          <cell r="U1547">
            <v>0</v>
          </cell>
          <cell r="BA1547">
            <v>273.95</v>
          </cell>
          <cell r="BB1547">
            <v>0</v>
          </cell>
          <cell r="BF1547" t="str">
            <v>Ok</v>
          </cell>
        </row>
        <row r="1548">
          <cell r="B1548" t="str">
            <v>TROPICANA BONE</v>
          </cell>
          <cell r="R1548">
            <v>16.763333333333332</v>
          </cell>
          <cell r="S1548">
            <v>0</v>
          </cell>
          <cell r="T1548">
            <v>0</v>
          </cell>
          <cell r="U1548">
            <v>0</v>
          </cell>
          <cell r="BA1548">
            <v>142</v>
          </cell>
          <cell r="BB1548">
            <v>50</v>
          </cell>
          <cell r="BF1548" t="str">
            <v>Ok</v>
          </cell>
        </row>
        <row r="1549">
          <cell r="B1549" t="str">
            <v>TROPICANA COBALT</v>
          </cell>
          <cell r="R1549">
            <v>15.85</v>
          </cell>
          <cell r="S1549">
            <v>0</v>
          </cell>
          <cell r="T1549">
            <v>0</v>
          </cell>
          <cell r="U1549">
            <v>0</v>
          </cell>
          <cell r="BA1549">
            <v>98</v>
          </cell>
          <cell r="BB1549">
            <v>50</v>
          </cell>
          <cell r="BF1549" t="str">
            <v>Ok</v>
          </cell>
        </row>
        <row r="1550">
          <cell r="B1550" t="str">
            <v>TROPICANA NATURAL</v>
          </cell>
          <cell r="R1550">
            <v>15.726666666666667</v>
          </cell>
          <cell r="S1550">
            <v>0</v>
          </cell>
          <cell r="T1550">
            <v>0</v>
          </cell>
          <cell r="U1550">
            <v>0</v>
          </cell>
          <cell r="BA1550">
            <v>145</v>
          </cell>
          <cell r="BB1550">
            <v>50</v>
          </cell>
          <cell r="BF1550" t="str">
            <v>Ok</v>
          </cell>
        </row>
        <row r="1551">
          <cell r="B1551" t="str">
            <v>TROPICANA SISAL</v>
          </cell>
          <cell r="R1551">
            <v>15.85</v>
          </cell>
          <cell r="S1551">
            <v>0</v>
          </cell>
          <cell r="T1551">
            <v>0</v>
          </cell>
          <cell r="U1551">
            <v>0</v>
          </cell>
          <cell r="BA1551">
            <v>145</v>
          </cell>
          <cell r="BB1551">
            <v>50</v>
          </cell>
          <cell r="BF1551" t="str">
            <v>Ok</v>
          </cell>
        </row>
        <row r="1552">
          <cell r="B1552" t="str">
            <v>WALE BLEACH</v>
          </cell>
          <cell r="R1552">
            <v>0</v>
          </cell>
          <cell r="S1552">
            <v>33.130000000000003</v>
          </cell>
          <cell r="T1552">
            <v>0</v>
          </cell>
          <cell r="U1552">
            <v>0</v>
          </cell>
          <cell r="BA1552">
            <v>283.13</v>
          </cell>
          <cell r="BB1552">
            <v>0</v>
          </cell>
          <cell r="BF1552" t="str">
            <v>Ok</v>
          </cell>
        </row>
        <row r="1553">
          <cell r="B1553" t="str">
            <v>WALE CHARCOAL</v>
          </cell>
          <cell r="R1553">
            <v>16.306666666666668</v>
          </cell>
          <cell r="S1553">
            <v>0</v>
          </cell>
          <cell r="T1553">
            <v>0</v>
          </cell>
          <cell r="U1553">
            <v>0</v>
          </cell>
          <cell r="BA1553">
            <v>124</v>
          </cell>
          <cell r="BB1553">
            <v>50</v>
          </cell>
          <cell r="BF1553" t="str">
            <v>Ok</v>
          </cell>
        </row>
        <row r="1554">
          <cell r="B1554" t="str">
            <v>WALE FOG</v>
          </cell>
          <cell r="R1554">
            <v>0</v>
          </cell>
          <cell r="S1554">
            <v>34.770000000000003</v>
          </cell>
          <cell r="T1554">
            <v>0</v>
          </cell>
          <cell r="U1554">
            <v>0</v>
          </cell>
          <cell r="BA1554">
            <v>284.77</v>
          </cell>
          <cell r="BB1554">
            <v>0</v>
          </cell>
          <cell r="BF1554" t="str">
            <v>Ok</v>
          </cell>
        </row>
        <row r="1555">
          <cell r="B1555" t="str">
            <v>WATERPOINT MARBLE</v>
          </cell>
          <cell r="R1555">
            <v>16.276666666666667</v>
          </cell>
          <cell r="S1555">
            <v>0</v>
          </cell>
          <cell r="T1555">
            <v>0</v>
          </cell>
          <cell r="U1555">
            <v>0</v>
          </cell>
          <cell r="BA1555">
            <v>201</v>
          </cell>
          <cell r="BB1555">
            <v>50</v>
          </cell>
          <cell r="BF1555" t="str">
            <v>Ok</v>
          </cell>
        </row>
        <row r="1556">
          <cell r="B1556" t="str">
            <v>WATERPOINT NATURAL</v>
          </cell>
          <cell r="R1556">
            <v>16.306666666666668</v>
          </cell>
          <cell r="S1556">
            <v>0</v>
          </cell>
          <cell r="T1556">
            <v>0</v>
          </cell>
          <cell r="U1556">
            <v>0</v>
          </cell>
          <cell r="BA1556">
            <v>223</v>
          </cell>
          <cell r="BB1556">
            <v>50</v>
          </cell>
          <cell r="BF1556" t="str">
            <v>Ok</v>
          </cell>
        </row>
        <row r="1557">
          <cell r="B1557" t="str">
            <v>WATERPOINT SALT</v>
          </cell>
          <cell r="R1557">
            <v>0</v>
          </cell>
          <cell r="S1557">
            <v>39.549999999999997</v>
          </cell>
          <cell r="T1557">
            <v>0</v>
          </cell>
          <cell r="U1557">
            <v>0</v>
          </cell>
          <cell r="BA1557">
            <v>486.55</v>
          </cell>
          <cell r="BB1557">
            <v>0</v>
          </cell>
          <cell r="BF1557" t="str">
            <v>Ok</v>
          </cell>
        </row>
        <row r="1558">
          <cell r="B1558" t="str">
            <v>CASABLANCA ARMY GREEN</v>
          </cell>
          <cell r="R1558">
            <v>16.976666666666667</v>
          </cell>
          <cell r="S1558">
            <v>51.94</v>
          </cell>
          <cell r="T1558">
            <v>0</v>
          </cell>
          <cell r="U1558">
            <v>0</v>
          </cell>
          <cell r="BA1558">
            <v>51.94</v>
          </cell>
          <cell r="BB1558">
            <v>100</v>
          </cell>
          <cell r="BF1558" t="str">
            <v>Resurtir</v>
          </cell>
        </row>
        <row r="1559">
          <cell r="B1559" t="str">
            <v>CASABLANCA COTTON</v>
          </cell>
          <cell r="R1559">
            <v>16.580000000000002</v>
          </cell>
          <cell r="S1559">
            <v>50.29</v>
          </cell>
          <cell r="T1559">
            <v>0</v>
          </cell>
          <cell r="U1559">
            <v>0</v>
          </cell>
          <cell r="BA1559">
            <v>50.29</v>
          </cell>
          <cell r="BB1559">
            <v>100</v>
          </cell>
          <cell r="BF1559" t="str">
            <v>Resurtir</v>
          </cell>
        </row>
        <row r="1560">
          <cell r="B1560" t="str">
            <v>CASABLANCA FOSSIL</v>
          </cell>
          <cell r="R1560">
            <v>16.643333333333334</v>
          </cell>
          <cell r="S1560">
            <v>49.83</v>
          </cell>
          <cell r="T1560">
            <v>0</v>
          </cell>
          <cell r="U1560">
            <v>0</v>
          </cell>
          <cell r="BA1560">
            <v>49.83</v>
          </cell>
          <cell r="BB1560">
            <v>100</v>
          </cell>
          <cell r="BF1560" t="str">
            <v>Resurtir</v>
          </cell>
        </row>
        <row r="1561">
          <cell r="B1561" t="str">
            <v>CASABLANCA LINEN</v>
          </cell>
          <cell r="R1561">
            <v>16.43</v>
          </cell>
          <cell r="S1561">
            <v>0</v>
          </cell>
          <cell r="T1561">
            <v>0</v>
          </cell>
          <cell r="U1561">
            <v>0</v>
          </cell>
          <cell r="BA1561">
            <v>0</v>
          </cell>
          <cell r="BB1561">
            <v>100</v>
          </cell>
          <cell r="BF1561" t="str">
            <v>Resurtir</v>
          </cell>
        </row>
        <row r="1562">
          <cell r="B1562" t="str">
            <v>CASABLANCA OATMEAL</v>
          </cell>
          <cell r="R1562">
            <v>16.43</v>
          </cell>
          <cell r="S1562">
            <v>0</v>
          </cell>
          <cell r="T1562">
            <v>0</v>
          </cell>
          <cell r="U1562">
            <v>0</v>
          </cell>
          <cell r="BA1562">
            <v>0</v>
          </cell>
          <cell r="BB1562">
            <v>100</v>
          </cell>
          <cell r="BF1562" t="str">
            <v>Resurtir</v>
          </cell>
        </row>
        <row r="1563">
          <cell r="B1563" t="str">
            <v>CASABLANCA SNOW</v>
          </cell>
          <cell r="R1563">
            <v>16.46</v>
          </cell>
          <cell r="S1563">
            <v>0</v>
          </cell>
          <cell r="T1563">
            <v>0</v>
          </cell>
          <cell r="U1563">
            <v>0</v>
          </cell>
          <cell r="BA1563">
            <v>0</v>
          </cell>
          <cell r="BB1563">
            <v>100</v>
          </cell>
          <cell r="BF1563" t="str">
            <v>Resurtir</v>
          </cell>
        </row>
        <row r="1564">
          <cell r="B1564" t="str">
            <v>CROSSLUNA LINEN</v>
          </cell>
          <cell r="R1564">
            <v>18.7</v>
          </cell>
          <cell r="S1564">
            <v>0</v>
          </cell>
          <cell r="T1564">
            <v>0</v>
          </cell>
          <cell r="U1564">
            <v>22</v>
          </cell>
          <cell r="BA1564">
            <v>168</v>
          </cell>
          <cell r="BB1564">
            <v>100</v>
          </cell>
          <cell r="BF1564" t="str">
            <v>Ok</v>
          </cell>
        </row>
        <row r="1565">
          <cell r="B1565" t="str">
            <v>CROSSLUNA NATURAL</v>
          </cell>
          <cell r="R1565">
            <v>17.466666666666665</v>
          </cell>
          <cell r="S1565">
            <v>0</v>
          </cell>
          <cell r="T1565">
            <v>0</v>
          </cell>
          <cell r="U1565">
            <v>32</v>
          </cell>
          <cell r="BA1565">
            <v>179</v>
          </cell>
          <cell r="BB1565">
            <v>100</v>
          </cell>
          <cell r="BF1565" t="str">
            <v>Ok</v>
          </cell>
        </row>
        <row r="1566">
          <cell r="B1566" t="str">
            <v>ISORIA OAT</v>
          </cell>
          <cell r="R1566">
            <v>15.700000000000001</v>
          </cell>
          <cell r="S1566">
            <v>102.8</v>
          </cell>
          <cell r="T1566">
            <v>0</v>
          </cell>
          <cell r="U1566">
            <v>0</v>
          </cell>
          <cell r="BA1566">
            <v>102.8</v>
          </cell>
          <cell r="BB1566">
            <v>100</v>
          </cell>
          <cell r="BF1566" t="str">
            <v>Ok</v>
          </cell>
        </row>
        <row r="1567">
          <cell r="B1567" t="str">
            <v>LAOS SAND</v>
          </cell>
          <cell r="R1567">
            <v>18.933333333333334</v>
          </cell>
          <cell r="S1567">
            <v>0</v>
          </cell>
          <cell r="T1567">
            <v>0</v>
          </cell>
          <cell r="U1567">
            <v>236.4</v>
          </cell>
          <cell r="BA1567">
            <v>236.4</v>
          </cell>
          <cell r="BB1567">
            <v>100</v>
          </cell>
          <cell r="BF1567" t="str">
            <v>Ok</v>
          </cell>
        </row>
        <row r="1568">
          <cell r="B1568" t="str">
            <v>NIGEL GALAXY</v>
          </cell>
          <cell r="R1568">
            <v>17.233333333333334</v>
          </cell>
          <cell r="S1568">
            <v>0</v>
          </cell>
          <cell r="T1568">
            <v>0</v>
          </cell>
          <cell r="U1568">
            <v>18.7</v>
          </cell>
          <cell r="BA1568">
            <v>18.7</v>
          </cell>
          <cell r="BB1568">
            <v>100</v>
          </cell>
          <cell r="BF1568" t="str">
            <v>Resurtir</v>
          </cell>
        </row>
        <row r="1569">
          <cell r="B1569" t="str">
            <v>NIGEL SMOKE</v>
          </cell>
          <cell r="R1569">
            <v>17.933333333333334</v>
          </cell>
          <cell r="S1569">
            <v>0</v>
          </cell>
          <cell r="T1569">
            <v>0</v>
          </cell>
          <cell r="U1569">
            <v>22.5</v>
          </cell>
          <cell r="BA1569">
            <v>22.5</v>
          </cell>
          <cell r="BB1569">
            <v>100</v>
          </cell>
          <cell r="BF1569" t="str">
            <v>Resurtir</v>
          </cell>
        </row>
        <row r="1570">
          <cell r="B1570" t="str">
            <v>WOOLSY EUCALYPTUS</v>
          </cell>
          <cell r="R1570">
            <v>17.2</v>
          </cell>
          <cell r="S1570">
            <v>0</v>
          </cell>
          <cell r="T1570">
            <v>0</v>
          </cell>
          <cell r="U1570">
            <v>0</v>
          </cell>
          <cell r="BA1570">
            <v>0</v>
          </cell>
          <cell r="BB1570">
            <v>50</v>
          </cell>
          <cell r="BF1570" t="str">
            <v>Resurtir</v>
          </cell>
        </row>
        <row r="1571">
          <cell r="B1571" t="str">
            <v>WOOLSY MINK</v>
          </cell>
          <cell r="R1571">
            <v>14.1</v>
          </cell>
          <cell r="S1571">
            <v>0</v>
          </cell>
          <cell r="T1571">
            <v>0</v>
          </cell>
          <cell r="U1571">
            <v>0</v>
          </cell>
          <cell r="BA1571">
            <v>0</v>
          </cell>
          <cell r="BB1571">
            <v>50</v>
          </cell>
          <cell r="BF1571" t="str">
            <v>Resurtir</v>
          </cell>
        </row>
        <row r="1572">
          <cell r="B1572" t="str">
            <v>CONNOR GREY</v>
          </cell>
          <cell r="R1572">
            <v>20.424999999999997</v>
          </cell>
          <cell r="S1572">
            <v>1139.5999999999999</v>
          </cell>
          <cell r="T1572">
            <v>48.77</v>
          </cell>
          <cell r="U1572">
            <v>0</v>
          </cell>
          <cell r="BA1572">
            <v>1188.3699999999999</v>
          </cell>
          <cell r="BB1572">
            <v>350</v>
          </cell>
          <cell r="BF1572" t="str">
            <v>Ok</v>
          </cell>
        </row>
        <row r="1573">
          <cell r="B1573" t="str">
            <v>ECOLOGY ARCTIC</v>
          </cell>
          <cell r="R1573">
            <v>15.45</v>
          </cell>
          <cell r="S1573">
            <v>1177.3</v>
          </cell>
          <cell r="T1573">
            <v>40.200000000000003</v>
          </cell>
          <cell r="U1573">
            <v>0</v>
          </cell>
          <cell r="BA1573">
            <v>1217.5</v>
          </cell>
          <cell r="BB1573">
            <v>0</v>
          </cell>
          <cell r="BF1573" t="str">
            <v>Ok</v>
          </cell>
        </row>
        <row r="1574">
          <cell r="B1574" t="str">
            <v>HOWDY SUGAR</v>
          </cell>
          <cell r="R1574">
            <v>0</v>
          </cell>
          <cell r="S1574">
            <v>597.89</v>
          </cell>
          <cell r="T1574">
            <v>0</v>
          </cell>
          <cell r="U1574">
            <v>0</v>
          </cell>
          <cell r="BA1574">
            <v>597.89</v>
          </cell>
          <cell r="BB1574">
            <v>0</v>
          </cell>
          <cell r="BF1574" t="str">
            <v>Ok</v>
          </cell>
        </row>
        <row r="1575">
          <cell r="B1575" t="str">
            <v>LOMBARD GRANITE</v>
          </cell>
          <cell r="R1575">
            <v>257.375</v>
          </cell>
          <cell r="S1575">
            <v>1199.5</v>
          </cell>
          <cell r="T1575">
            <v>68.400000000000006</v>
          </cell>
          <cell r="U1575">
            <v>305.7</v>
          </cell>
          <cell r="BA1575">
            <v>1874.6000000000001</v>
          </cell>
          <cell r="BB1575">
            <v>1000</v>
          </cell>
          <cell r="BF1575" t="str">
            <v>Ok</v>
          </cell>
        </row>
        <row r="1576">
          <cell r="B1576" t="str">
            <v>NATASHA PEPPER</v>
          </cell>
          <cell r="R1576">
            <v>10.25</v>
          </cell>
          <cell r="S1576">
            <v>159</v>
          </cell>
          <cell r="T1576">
            <v>39.799999999999997</v>
          </cell>
          <cell r="U1576">
            <v>0</v>
          </cell>
          <cell r="BA1576">
            <v>198.8</v>
          </cell>
          <cell r="BB1576">
            <v>50</v>
          </cell>
          <cell r="BF1576" t="str">
            <v>Ok</v>
          </cell>
        </row>
        <row r="1577">
          <cell r="B1577" t="str">
            <v>NATASHA OYSTER</v>
          </cell>
          <cell r="R1577">
            <v>401.25</v>
          </cell>
          <cell r="S1577">
            <v>0</v>
          </cell>
          <cell r="T1577">
            <v>25.9</v>
          </cell>
          <cell r="U1577">
            <v>0</v>
          </cell>
          <cell r="BA1577">
            <v>1531.9</v>
          </cell>
          <cell r="BB1577">
            <v>1300</v>
          </cell>
          <cell r="BF1577" t="str">
            <v>Resurtir</v>
          </cell>
        </row>
        <row r="1578">
          <cell r="B1578" t="str">
            <v>RUBY IVORY</v>
          </cell>
          <cell r="R1578">
            <v>633.70000000000005</v>
          </cell>
          <cell r="S1578">
            <v>167</v>
          </cell>
          <cell r="T1578">
            <v>6.9</v>
          </cell>
          <cell r="U1578">
            <v>0</v>
          </cell>
          <cell r="BA1578">
            <v>1696.9</v>
          </cell>
          <cell r="BB1578">
            <v>3300</v>
          </cell>
          <cell r="BF1578" t="str">
            <v>Resurtir</v>
          </cell>
        </row>
        <row r="1579">
          <cell r="B1579" t="str">
            <v>AMAZON DRIFTWOOD</v>
          </cell>
          <cell r="R1579">
            <v>0</v>
          </cell>
          <cell r="S1579">
            <v>142.5</v>
          </cell>
          <cell r="T1579">
            <v>0</v>
          </cell>
          <cell r="U1579">
            <v>523.9</v>
          </cell>
          <cell r="BA1579">
            <v>666.4</v>
          </cell>
          <cell r="BB1579">
            <v>200</v>
          </cell>
          <cell r="BF1579" t="str">
            <v>Ok</v>
          </cell>
        </row>
        <row r="1580">
          <cell r="B1580" t="str">
            <v>AMBER 101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BA1580">
            <v>0</v>
          </cell>
          <cell r="BB1580">
            <v>0</v>
          </cell>
          <cell r="BF1580" t="str">
            <v>Resurtir</v>
          </cell>
        </row>
        <row r="1581">
          <cell r="B1581" t="str">
            <v>AMBER 300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BA1581">
            <v>0</v>
          </cell>
          <cell r="BB1581">
            <v>0</v>
          </cell>
          <cell r="BF1581" t="str">
            <v>Resurtir</v>
          </cell>
        </row>
        <row r="1582">
          <cell r="B1582" t="str">
            <v>AMBER 401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BA1582">
            <v>0</v>
          </cell>
          <cell r="BB1582">
            <v>0</v>
          </cell>
          <cell r="BF1582" t="str">
            <v>Resurtir</v>
          </cell>
        </row>
        <row r="1583">
          <cell r="B1583" t="str">
            <v>AMBER 502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BA1583">
            <v>0</v>
          </cell>
          <cell r="BB1583">
            <v>0</v>
          </cell>
          <cell r="BF1583" t="str">
            <v>Resurtir</v>
          </cell>
        </row>
        <row r="1584">
          <cell r="B1584" t="str">
            <v>ATLANTIS BEIGE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BA1584">
            <v>0</v>
          </cell>
          <cell r="BB1584">
            <v>0</v>
          </cell>
          <cell r="BF1584" t="str">
            <v>Resurtir</v>
          </cell>
        </row>
        <row r="1585">
          <cell r="B1585" t="str">
            <v>BERMUDA ASH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BA1585">
            <v>0</v>
          </cell>
          <cell r="BB1585">
            <v>0</v>
          </cell>
          <cell r="BF1585" t="str">
            <v>Resurtir</v>
          </cell>
        </row>
        <row r="1586">
          <cell r="B1586" t="str">
            <v>BERMUDA SNOW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BA1586">
            <v>0</v>
          </cell>
          <cell r="BB1586">
            <v>0</v>
          </cell>
          <cell r="BF1586" t="str">
            <v>Resurtir</v>
          </cell>
        </row>
        <row r="1587">
          <cell r="B1587" t="str">
            <v>CHARLOTTE BLACK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BA1587">
            <v>0</v>
          </cell>
          <cell r="BB1587">
            <v>0</v>
          </cell>
          <cell r="BF1587" t="str">
            <v>Resurtir</v>
          </cell>
        </row>
        <row r="1588">
          <cell r="B1588" t="str">
            <v>CHARLOTTE CREAM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BA1588">
            <v>0</v>
          </cell>
          <cell r="BB1588">
            <v>0</v>
          </cell>
          <cell r="BF1588" t="str">
            <v>Resurtir</v>
          </cell>
        </row>
        <row r="1589">
          <cell r="B1589" t="str">
            <v>CHARLOTTE NATURAL</v>
          </cell>
          <cell r="R1589">
            <v>0</v>
          </cell>
          <cell r="S1589">
            <v>72.099999999999994</v>
          </cell>
          <cell r="T1589">
            <v>0</v>
          </cell>
          <cell r="U1589">
            <v>0</v>
          </cell>
          <cell r="BA1589">
            <v>72.099999999999994</v>
          </cell>
          <cell r="BB1589">
            <v>0</v>
          </cell>
          <cell r="BF1589" t="str">
            <v>Ok</v>
          </cell>
        </row>
        <row r="1590">
          <cell r="B1590" t="str">
            <v>CHARLOTTE OLIVE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BA1590">
            <v>0</v>
          </cell>
          <cell r="BB1590">
            <v>0</v>
          </cell>
          <cell r="BF1590" t="str">
            <v>Resurtir</v>
          </cell>
        </row>
        <row r="1591">
          <cell r="B1591" t="str">
            <v>CHARLOTTE PLATINUM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BA1591">
            <v>0</v>
          </cell>
          <cell r="BB1591">
            <v>0</v>
          </cell>
          <cell r="BF1591" t="str">
            <v>Resurtir</v>
          </cell>
        </row>
        <row r="1592">
          <cell r="B1592" t="str">
            <v>CHARLOTTE  SNOW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BA1592">
            <v>0</v>
          </cell>
          <cell r="BB1592">
            <v>0</v>
          </cell>
          <cell r="BF1592" t="str">
            <v>Resurtir</v>
          </cell>
        </row>
        <row r="1593">
          <cell r="B1593" t="str">
            <v>CHARLOTTE TERRACOTA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BA1593">
            <v>0</v>
          </cell>
          <cell r="BB1593">
            <v>0</v>
          </cell>
          <cell r="BF1593" t="str">
            <v>Resurtir</v>
          </cell>
        </row>
        <row r="1594">
          <cell r="B1594" t="str">
            <v>CORSICA CAMEL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BA1594">
            <v>0</v>
          </cell>
          <cell r="BB1594">
            <v>0</v>
          </cell>
          <cell r="BF1594" t="str">
            <v>Resurtir</v>
          </cell>
        </row>
        <row r="1595">
          <cell r="B1595" t="str">
            <v>FIOR BLACK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BA1595">
            <v>0</v>
          </cell>
          <cell r="BB1595">
            <v>0</v>
          </cell>
          <cell r="BF1595" t="str">
            <v>Resurtir</v>
          </cell>
        </row>
        <row r="1596">
          <cell r="B1596" t="str">
            <v>FIOR NAVY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BA1596">
            <v>0</v>
          </cell>
          <cell r="BB1596">
            <v>0</v>
          </cell>
          <cell r="BF1596" t="str">
            <v>Resurtir</v>
          </cell>
        </row>
        <row r="1597">
          <cell r="B1597" t="str">
            <v>FIOR SNOW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BA1597">
            <v>0</v>
          </cell>
          <cell r="BB1597">
            <v>0</v>
          </cell>
          <cell r="BF1597" t="str">
            <v>Resurtir</v>
          </cell>
        </row>
        <row r="1598">
          <cell r="B1598" t="str">
            <v>KALI COTTON</v>
          </cell>
          <cell r="R1598">
            <v>0</v>
          </cell>
          <cell r="S1598">
            <v>65.8</v>
          </cell>
          <cell r="T1598">
            <v>0</v>
          </cell>
          <cell r="U1598">
            <v>0</v>
          </cell>
          <cell r="BA1598">
            <v>65.8</v>
          </cell>
          <cell r="BB1598">
            <v>0</v>
          </cell>
          <cell r="BF1598" t="str">
            <v>Ok</v>
          </cell>
        </row>
        <row r="1599">
          <cell r="B1599" t="str">
            <v>ECLIPSE CREAM</v>
          </cell>
          <cell r="R1599">
            <v>102.75</v>
          </cell>
          <cell r="S1599">
            <v>1057.5999999999999</v>
          </cell>
          <cell r="T1599">
            <v>30.2</v>
          </cell>
          <cell r="U1599">
            <v>41</v>
          </cell>
          <cell r="BA1599">
            <v>1128.8</v>
          </cell>
          <cell r="BB1599">
            <v>0</v>
          </cell>
          <cell r="BF1599" t="str">
            <v>Ok</v>
          </cell>
        </row>
        <row r="1600">
          <cell r="B1600" t="str">
            <v>PASSION MINERAL</v>
          </cell>
          <cell r="R1600">
            <v>11.95</v>
          </cell>
          <cell r="S1600">
            <v>362.8</v>
          </cell>
          <cell r="T1600">
            <v>86.65</v>
          </cell>
          <cell r="U1600">
            <v>1197.5</v>
          </cell>
          <cell r="BA1600">
            <v>1646.95</v>
          </cell>
          <cell r="BB1600">
            <v>0</v>
          </cell>
          <cell r="BF1600" t="str">
            <v>Ok</v>
          </cell>
        </row>
        <row r="1601">
          <cell r="B1601" t="str">
            <v>ECLIPSE PLATINUM</v>
          </cell>
          <cell r="R1601">
            <v>9.7750000000000004</v>
          </cell>
          <cell r="S1601">
            <v>99.4</v>
          </cell>
          <cell r="T1601">
            <v>0</v>
          </cell>
          <cell r="U1601">
            <v>717</v>
          </cell>
          <cell r="BA1601">
            <v>816.4</v>
          </cell>
          <cell r="BB1601">
            <v>50</v>
          </cell>
          <cell r="BF1601" t="str">
            <v>Ok</v>
          </cell>
        </row>
        <row r="1602">
          <cell r="B1602" t="str">
            <v>LUKE IVORY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BA1602">
            <v>0</v>
          </cell>
          <cell r="BB1602">
            <v>0</v>
          </cell>
          <cell r="BF1602" t="str">
            <v>Resurtir</v>
          </cell>
        </row>
        <row r="1603">
          <cell r="B1603" t="str">
            <v>LUKE OPAL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BA1603">
            <v>0</v>
          </cell>
          <cell r="BB1603">
            <v>0</v>
          </cell>
          <cell r="BF1603" t="str">
            <v>Resurtir</v>
          </cell>
        </row>
        <row r="1604">
          <cell r="B1604" t="str">
            <v>LUKE ROSE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BA1604">
            <v>0</v>
          </cell>
          <cell r="BB1604">
            <v>0</v>
          </cell>
          <cell r="BF1604" t="str">
            <v>Resurtir</v>
          </cell>
        </row>
        <row r="1605">
          <cell r="B1605" t="str">
            <v>LUKE SPA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BA1605">
            <v>0</v>
          </cell>
          <cell r="BB1605">
            <v>0</v>
          </cell>
          <cell r="BF1605" t="str">
            <v>Resurtir</v>
          </cell>
        </row>
        <row r="1606">
          <cell r="B1606" t="str">
            <v>MALTA EBONY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BA1606">
            <v>0</v>
          </cell>
          <cell r="BB1606">
            <v>0</v>
          </cell>
          <cell r="BF1606" t="str">
            <v>Resurtir</v>
          </cell>
        </row>
        <row r="1607">
          <cell r="B1607" t="str">
            <v>MALTA MIDNIGHT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BA1607">
            <v>0</v>
          </cell>
          <cell r="BB1607">
            <v>0</v>
          </cell>
          <cell r="BF1607" t="str">
            <v>Resurtir</v>
          </cell>
        </row>
        <row r="1608">
          <cell r="B1608" t="str">
            <v>MALTA GREY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BA1608">
            <v>0</v>
          </cell>
          <cell r="BB1608">
            <v>0</v>
          </cell>
          <cell r="BF1608" t="str">
            <v>Resurtir</v>
          </cell>
        </row>
        <row r="1609">
          <cell r="B1609" t="str">
            <v>MALTA SILVER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BA1609">
            <v>0</v>
          </cell>
          <cell r="BB1609">
            <v>0</v>
          </cell>
          <cell r="BF1609" t="str">
            <v>Resurtir</v>
          </cell>
        </row>
        <row r="1610">
          <cell r="B1610" t="str">
            <v>MALTA SMOKE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BA1610">
            <v>0</v>
          </cell>
          <cell r="BB1610">
            <v>0</v>
          </cell>
          <cell r="BF1610" t="str">
            <v>Resurtir</v>
          </cell>
        </row>
        <row r="1611">
          <cell r="B1611" t="str">
            <v>MALTA TAUPE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BA1611">
            <v>0</v>
          </cell>
          <cell r="BB1611">
            <v>0</v>
          </cell>
          <cell r="BF1611" t="str">
            <v>Resurtir</v>
          </cell>
        </row>
        <row r="1612">
          <cell r="B1612" t="str">
            <v>MAX GRAY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BA1612">
            <v>0</v>
          </cell>
          <cell r="BB1612">
            <v>0</v>
          </cell>
          <cell r="BF1612" t="str">
            <v>Resurtir</v>
          </cell>
        </row>
        <row r="1613">
          <cell r="B1613" t="str">
            <v>PALEO GREY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BA1613">
            <v>0</v>
          </cell>
          <cell r="BB1613">
            <v>0</v>
          </cell>
          <cell r="BF1613" t="str">
            <v>Resurtir</v>
          </cell>
        </row>
        <row r="1614">
          <cell r="B1614" t="str">
            <v>PALEO MOCHA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BA1614">
            <v>0</v>
          </cell>
          <cell r="BB1614">
            <v>0</v>
          </cell>
          <cell r="BF1614" t="str">
            <v>Resurtir</v>
          </cell>
        </row>
        <row r="1615">
          <cell r="B1615" t="str">
            <v>PALEO ROYAL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BA1615">
            <v>0</v>
          </cell>
          <cell r="BB1615">
            <v>0</v>
          </cell>
          <cell r="BF1615" t="str">
            <v>Resurtir</v>
          </cell>
        </row>
        <row r="1616">
          <cell r="B1616" t="str">
            <v>PALEO SILVER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BA1616">
            <v>0</v>
          </cell>
          <cell r="BB1616">
            <v>0</v>
          </cell>
          <cell r="BF1616" t="str">
            <v>Resurtir</v>
          </cell>
        </row>
        <row r="1617">
          <cell r="B1617" t="str">
            <v>PALEO WHITE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BA1617">
            <v>0</v>
          </cell>
          <cell r="BB1617">
            <v>0</v>
          </cell>
          <cell r="BF1617" t="str">
            <v>Resurtir</v>
          </cell>
        </row>
        <row r="1618">
          <cell r="B1618" t="str">
            <v>ROCCO BONE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BA1618">
            <v>0</v>
          </cell>
          <cell r="BB1618">
            <v>0</v>
          </cell>
          <cell r="BF1618" t="str">
            <v>Resurtir</v>
          </cell>
        </row>
        <row r="1619">
          <cell r="B1619" t="str">
            <v>ROCCO DUNE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BA1619">
            <v>0</v>
          </cell>
          <cell r="BB1619">
            <v>0</v>
          </cell>
          <cell r="BF1619" t="str">
            <v>Resurtir</v>
          </cell>
        </row>
        <row r="1620">
          <cell r="B1620" t="str">
            <v>ROCCO EARTH</v>
          </cell>
          <cell r="R1620">
            <v>0</v>
          </cell>
          <cell r="S1620">
            <v>0</v>
          </cell>
          <cell r="T1620">
            <v>19.670000000000002</v>
          </cell>
          <cell r="U1620">
            <v>0</v>
          </cell>
          <cell r="BA1620">
            <v>19.670000000000002</v>
          </cell>
          <cell r="BB1620">
            <v>0</v>
          </cell>
          <cell r="BF1620" t="str">
            <v>Ok</v>
          </cell>
        </row>
        <row r="1621">
          <cell r="B1621" t="str">
            <v>ROCCO GREY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BA1621">
            <v>0</v>
          </cell>
          <cell r="BB1621">
            <v>0</v>
          </cell>
          <cell r="BF1621" t="str">
            <v>Resurtir</v>
          </cell>
        </row>
        <row r="1622">
          <cell r="B1622" t="str">
            <v>ROCCO INDIGO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BA1622">
            <v>0</v>
          </cell>
          <cell r="BB1622">
            <v>0</v>
          </cell>
          <cell r="BF1622" t="str">
            <v>Resurtir</v>
          </cell>
        </row>
        <row r="1623">
          <cell r="B1623" t="str">
            <v>SIENA MOUSE</v>
          </cell>
          <cell r="R1623">
            <v>0</v>
          </cell>
          <cell r="S1623">
            <v>20.399999999999999</v>
          </cell>
          <cell r="T1623">
            <v>0</v>
          </cell>
          <cell r="U1623">
            <v>0</v>
          </cell>
          <cell r="BA1623">
            <v>20.399999999999999</v>
          </cell>
          <cell r="BB1623">
            <v>0</v>
          </cell>
          <cell r="BF1623" t="str">
            <v>Ok</v>
          </cell>
        </row>
        <row r="1624">
          <cell r="B1624" t="str">
            <v>SIENA TAUPE</v>
          </cell>
          <cell r="R1624">
            <v>1.125</v>
          </cell>
          <cell r="S1624">
            <v>0</v>
          </cell>
          <cell r="T1624">
            <v>15.3</v>
          </cell>
          <cell r="U1624">
            <v>126.6</v>
          </cell>
          <cell r="BA1624">
            <v>141.9</v>
          </cell>
          <cell r="BB1624">
            <v>0</v>
          </cell>
          <cell r="BF1624" t="str">
            <v>Ok</v>
          </cell>
        </row>
        <row r="1625">
          <cell r="B1625" t="str">
            <v>ETIQUETAS DE TELA</v>
          </cell>
          <cell r="R1625">
            <v>1.25</v>
          </cell>
          <cell r="S1625">
            <v>127</v>
          </cell>
          <cell r="T1625">
            <v>0</v>
          </cell>
          <cell r="U1625">
            <v>1269</v>
          </cell>
          <cell r="BA1625">
            <v>1396</v>
          </cell>
          <cell r="BB1625">
            <v>0</v>
          </cell>
          <cell r="BF1625" t="str">
            <v>Ok</v>
          </cell>
        </row>
        <row r="1626">
          <cell r="B1626" t="str">
            <v>SPRING GREY</v>
          </cell>
          <cell r="R1626">
            <v>0</v>
          </cell>
          <cell r="S1626">
            <v>300</v>
          </cell>
          <cell r="T1626">
            <v>0</v>
          </cell>
          <cell r="U1626">
            <v>0</v>
          </cell>
          <cell r="BA1626">
            <v>300</v>
          </cell>
          <cell r="BB1626">
            <v>0</v>
          </cell>
          <cell r="BF1626" t="str">
            <v>Ok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BBE87-092F-4705-BC46-04CCBF27CBD7}">
  <dimension ref="B2:D44"/>
  <sheetViews>
    <sheetView showGridLines="0" tabSelected="1" zoomScaleNormal="100" workbookViewId="0">
      <pane ySplit="2" topLeftCell="A3" activePane="bottomLeft" state="frozen"/>
      <selection pane="bottomLeft" activeCell="D32" sqref="D32"/>
    </sheetView>
  </sheetViews>
  <sheetFormatPr baseColWidth="10" defaultRowHeight="15" x14ac:dyDescent="0.2"/>
  <cols>
    <col min="1" max="1" width="2.33203125" customWidth="1"/>
    <col min="2" max="2" width="7.5" customWidth="1"/>
    <col min="3" max="3" width="35.33203125" customWidth="1"/>
    <col min="4" max="4" width="72.5" customWidth="1"/>
    <col min="5" max="5" width="2.33203125" customWidth="1"/>
  </cols>
  <sheetData>
    <row r="2" spans="2:4" ht="34" customHeight="1" x14ac:dyDescent="0.2">
      <c r="B2" s="29" t="s">
        <v>72</v>
      </c>
      <c r="C2" s="29"/>
      <c r="D2" s="29"/>
    </row>
    <row r="3" spans="2:4" ht="34" customHeight="1" x14ac:dyDescent="0.2">
      <c r="B3" s="30" t="s">
        <v>71</v>
      </c>
      <c r="C3" s="30"/>
      <c r="D3" s="30"/>
    </row>
    <row r="5" spans="2:4" ht="24" customHeight="1" x14ac:dyDescent="0.2">
      <c r="B5" s="27" t="s">
        <v>70</v>
      </c>
      <c r="C5" s="27"/>
      <c r="D5" s="27"/>
    </row>
    <row r="6" spans="2:4" ht="48" customHeight="1" x14ac:dyDescent="0.2">
      <c r="B6" s="26"/>
      <c r="C6" s="25" t="s">
        <v>69</v>
      </c>
      <c r="D6" s="24" t="s">
        <v>68</v>
      </c>
    </row>
    <row r="7" spans="2:4" ht="24" customHeight="1" x14ac:dyDescent="0.2">
      <c r="B7" s="28" t="s">
        <v>67</v>
      </c>
      <c r="C7" s="28"/>
      <c r="D7" s="28"/>
    </row>
    <row r="8" spans="2:4" ht="130" customHeight="1" x14ac:dyDescent="0.2">
      <c r="B8" s="9">
        <v>1</v>
      </c>
      <c r="C8" s="8" t="s">
        <v>66</v>
      </c>
      <c r="D8" s="7" t="s">
        <v>65</v>
      </c>
    </row>
    <row r="9" spans="2:4" ht="125" customHeight="1" x14ac:dyDescent="0.2">
      <c r="B9" s="6">
        <v>2</v>
      </c>
      <c r="C9" s="5" t="s">
        <v>64</v>
      </c>
      <c r="D9" s="4" t="s">
        <v>63</v>
      </c>
    </row>
    <row r="10" spans="2:4" ht="150" customHeight="1" x14ac:dyDescent="0.2">
      <c r="B10" s="6">
        <v>3</v>
      </c>
      <c r="C10" s="5" t="s">
        <v>62</v>
      </c>
      <c r="D10" s="4" t="s">
        <v>61</v>
      </c>
    </row>
    <row r="11" spans="2:4" ht="115" customHeight="1" x14ac:dyDescent="0.2">
      <c r="B11" s="6">
        <v>4</v>
      </c>
      <c r="C11" s="5" t="s">
        <v>60</v>
      </c>
      <c r="D11" s="4" t="s">
        <v>59</v>
      </c>
    </row>
    <row r="12" spans="2:4" ht="130" customHeight="1" x14ac:dyDescent="0.2">
      <c r="B12" s="3">
        <v>5</v>
      </c>
      <c r="C12" s="2" t="s">
        <v>58</v>
      </c>
      <c r="D12" s="1" t="s">
        <v>57</v>
      </c>
    </row>
    <row r="13" spans="2:4" ht="24" customHeight="1" x14ac:dyDescent="0.2">
      <c r="B13" s="28" t="s">
        <v>56</v>
      </c>
      <c r="C13" s="28"/>
      <c r="D13" s="28"/>
    </row>
    <row r="14" spans="2:4" ht="150" customHeight="1" x14ac:dyDescent="0.2">
      <c r="B14" s="9">
        <v>6</v>
      </c>
      <c r="C14" s="8" t="s">
        <v>55</v>
      </c>
      <c r="D14" s="7" t="s">
        <v>54</v>
      </c>
    </row>
    <row r="15" spans="2:4" ht="210" customHeight="1" x14ac:dyDescent="0.2">
      <c r="B15" s="6">
        <v>7</v>
      </c>
      <c r="C15" s="5" t="s">
        <v>53</v>
      </c>
      <c r="D15" s="4" t="s">
        <v>52</v>
      </c>
    </row>
    <row r="16" spans="2:4" ht="210" customHeight="1" x14ac:dyDescent="0.2">
      <c r="B16" s="6">
        <v>8</v>
      </c>
      <c r="C16" s="5" t="s">
        <v>51</v>
      </c>
      <c r="D16" s="4" t="s">
        <v>73</v>
      </c>
    </row>
    <row r="17" spans="2:4" ht="206" customHeight="1" x14ac:dyDescent="0.2">
      <c r="B17" s="3">
        <v>9</v>
      </c>
      <c r="C17" s="2" t="s">
        <v>50</v>
      </c>
      <c r="D17" s="1" t="s">
        <v>49</v>
      </c>
    </row>
    <row r="18" spans="2:4" ht="24" customHeight="1" x14ac:dyDescent="0.2">
      <c r="B18" s="28" t="s">
        <v>48</v>
      </c>
      <c r="C18" s="28"/>
      <c r="D18" s="28"/>
    </row>
    <row r="19" spans="2:4" ht="21" customHeight="1" x14ac:dyDescent="0.2">
      <c r="B19" s="12"/>
      <c r="C19" s="11" t="s">
        <v>47</v>
      </c>
      <c r="D19" s="23" t="s">
        <v>74</v>
      </c>
    </row>
    <row r="20" spans="2:4" ht="21" customHeight="1" x14ac:dyDescent="0.2">
      <c r="B20" s="12"/>
      <c r="C20" s="11" t="s">
        <v>46</v>
      </c>
      <c r="D20" s="22">
        <f>MATCH(D19,[1]RESURTIDO!B:B,0)</f>
        <v>276</v>
      </c>
    </row>
    <row r="21" spans="2:4" ht="21" customHeight="1" x14ac:dyDescent="0.2">
      <c r="B21" s="12" t="s">
        <v>45</v>
      </c>
      <c r="C21" s="11" t="s">
        <v>44</v>
      </c>
      <c r="D21" s="19" cm="1">
        <f t="array" ref="D21">INDEX([1]RESURTIDO!R:R,$D$20)</f>
        <v>1176.2</v>
      </c>
    </row>
    <row r="22" spans="2:4" ht="21" customHeight="1" x14ac:dyDescent="0.2">
      <c r="B22" s="12" t="s">
        <v>43</v>
      </c>
      <c r="C22" s="11" t="s">
        <v>42</v>
      </c>
      <c r="D22" s="19" cm="1">
        <f t="array" ref="D22">INDEX([1]RESURTIDO!S:S,$D$20)+INDEX([1]RESURTIDO!T:T,$D$20)+INDEX([1]RESURTIDO!U:U,$D$20)</f>
        <v>33.4</v>
      </c>
    </row>
    <row r="23" spans="2:4" ht="21" customHeight="1" x14ac:dyDescent="0.2">
      <c r="B23" s="12" t="s">
        <v>41</v>
      </c>
      <c r="C23" s="11" t="s">
        <v>40</v>
      </c>
      <c r="D23" s="19">
        <f>D24-D22</f>
        <v>10030</v>
      </c>
    </row>
    <row r="24" spans="2:4" ht="21" customHeight="1" x14ac:dyDescent="0.2">
      <c r="B24" s="12" t="s">
        <v>39</v>
      </c>
      <c r="C24" s="21" t="s">
        <v>38</v>
      </c>
      <c r="D24" s="20" cm="1">
        <f t="array" ref="D24">INDEX([1]RESURTIDO!BA:BA,$D$20)</f>
        <v>10063.4</v>
      </c>
    </row>
    <row r="25" spans="2:4" ht="21" customHeight="1" x14ac:dyDescent="0.2">
      <c r="B25" s="12" t="s">
        <v>37</v>
      </c>
      <c r="C25" s="11" t="s">
        <v>36</v>
      </c>
      <c r="D25" s="19" cm="1">
        <f t="array" ref="D25">INDEX([1]RESURTIDO!BB:BB,$D$20)</f>
        <v>15310</v>
      </c>
    </row>
    <row r="26" spans="2:4" ht="21" customHeight="1" x14ac:dyDescent="0.2">
      <c r="B26" s="12" t="s">
        <v>35</v>
      </c>
      <c r="C26" s="11" t="s">
        <v>34</v>
      </c>
      <c r="D26" s="19">
        <f>D21*4.5</f>
        <v>5292.9000000000005</v>
      </c>
    </row>
    <row r="27" spans="2:4" ht="21" customHeight="1" x14ac:dyDescent="0.2">
      <c r="B27" s="12" t="s">
        <v>33</v>
      </c>
      <c r="C27" s="18" t="s">
        <v>32</v>
      </c>
      <c r="D27" s="17">
        <f>MAX(D25,D26)</f>
        <v>15310</v>
      </c>
    </row>
    <row r="28" spans="2:4" ht="21" customHeight="1" x14ac:dyDescent="0.2">
      <c r="B28" s="16" t="s">
        <v>31</v>
      </c>
      <c r="C28" s="11" t="s">
        <v>30</v>
      </c>
      <c r="D28" s="15">
        <f>D24-D27</f>
        <v>-5246.6</v>
      </c>
    </row>
    <row r="29" spans="2:4" ht="21" customHeight="1" x14ac:dyDescent="0.2">
      <c r="B29" s="12" t="s">
        <v>29</v>
      </c>
      <c r="C29" s="14" t="s">
        <v>28</v>
      </c>
      <c r="D29" s="13" t="str">
        <f>IF(D27&lt;D24,"Ok","Resurtir")</f>
        <v>Resurtir</v>
      </c>
    </row>
    <row r="30" spans="2:4" ht="34" customHeight="1" x14ac:dyDescent="0.2">
      <c r="B30" s="12"/>
      <c r="C30" s="11" t="s">
        <v>27</v>
      </c>
      <c r="D30" s="10" t="str" cm="1">
        <f t="array" ref="D30">"Tendremos "&amp;TEXT(D24,"#,##0")&amp;" m y necesitaremos "&amp;TEXT(D27,"#,##0")&amp;" m. "&amp;IF(D28&lt;0,"Faltan "&amp;TEXT(-D28,"#,##0")&amp;" m: RESURTIR.","Sobran "&amp;TEXT(D28,"#,##0")&amp;" m: OK.")&amp;" (Status en RESURTIDO: "&amp;INDEX([1]RESURTIDO!BF:BF,D20)&amp;")"</f>
        <v>Tendremos 10,063 m y necesitaremos 15,310 m. Faltan 5,247 m: RESURTIR. (Status en RESURTIDO: Resurtir)</v>
      </c>
    </row>
    <row r="31" spans="2:4" ht="24" customHeight="1" x14ac:dyDescent="0.2">
      <c r="B31" s="27" t="s">
        <v>26</v>
      </c>
      <c r="C31" s="27"/>
      <c r="D31" s="27"/>
    </row>
    <row r="32" spans="2:4" ht="48" customHeight="1" x14ac:dyDescent="0.2">
      <c r="B32" s="9"/>
      <c r="C32" s="8" t="s">
        <v>25</v>
      </c>
      <c r="D32" s="7" t="s">
        <v>24</v>
      </c>
    </row>
    <row r="33" spans="2:4" ht="48" customHeight="1" x14ac:dyDescent="0.2">
      <c r="B33" s="6"/>
      <c r="C33" s="5" t="s">
        <v>23</v>
      </c>
      <c r="D33" s="4" t="s">
        <v>22</v>
      </c>
    </row>
    <row r="34" spans="2:4" ht="48" customHeight="1" x14ac:dyDescent="0.2">
      <c r="B34" s="3"/>
      <c r="C34" s="2" t="s">
        <v>21</v>
      </c>
      <c r="D34" s="1" t="s">
        <v>20</v>
      </c>
    </row>
    <row r="35" spans="2:4" ht="24" customHeight="1" x14ac:dyDescent="0.2">
      <c r="B35" s="28" t="s">
        <v>19</v>
      </c>
      <c r="C35" s="28"/>
      <c r="D35" s="28"/>
    </row>
    <row r="36" spans="2:4" ht="48" customHeight="1" x14ac:dyDescent="0.2">
      <c r="B36" s="9" t="s">
        <v>10</v>
      </c>
      <c r="C36" s="8" t="s">
        <v>18</v>
      </c>
      <c r="D36" s="7" t="s">
        <v>17</v>
      </c>
    </row>
    <row r="37" spans="2:4" ht="48" customHeight="1" x14ac:dyDescent="0.2">
      <c r="B37" s="6" t="s">
        <v>10</v>
      </c>
      <c r="C37" s="5" t="s">
        <v>16</v>
      </c>
      <c r="D37" s="4" t="s">
        <v>15</v>
      </c>
    </row>
    <row r="38" spans="2:4" ht="48" customHeight="1" x14ac:dyDescent="0.2">
      <c r="B38" s="6" t="s">
        <v>10</v>
      </c>
      <c r="C38" s="5" t="s">
        <v>14</v>
      </c>
      <c r="D38" s="4" t="s">
        <v>13</v>
      </c>
    </row>
    <row r="39" spans="2:4" ht="48" customHeight="1" x14ac:dyDescent="0.2">
      <c r="B39" s="6" t="s">
        <v>10</v>
      </c>
      <c r="C39" s="5" t="s">
        <v>12</v>
      </c>
      <c r="D39" s="4" t="s">
        <v>11</v>
      </c>
    </row>
    <row r="40" spans="2:4" ht="48" customHeight="1" x14ac:dyDescent="0.2">
      <c r="B40" s="3" t="s">
        <v>10</v>
      </c>
      <c r="C40" s="2" t="s">
        <v>9</v>
      </c>
      <c r="D40" s="1" t="s">
        <v>8</v>
      </c>
    </row>
    <row r="41" spans="2:4" ht="24" customHeight="1" x14ac:dyDescent="0.2">
      <c r="B41" s="28" t="s">
        <v>7</v>
      </c>
      <c r="C41" s="28"/>
      <c r="D41" s="28"/>
    </row>
    <row r="42" spans="2:4" ht="48" customHeight="1" x14ac:dyDescent="0.2">
      <c r="B42" s="9" t="s">
        <v>2</v>
      </c>
      <c r="C42" s="8" t="s">
        <v>6</v>
      </c>
      <c r="D42" s="7" t="s">
        <v>5</v>
      </c>
    </row>
    <row r="43" spans="2:4" ht="48" customHeight="1" x14ac:dyDescent="0.2">
      <c r="B43" s="6" t="s">
        <v>2</v>
      </c>
      <c r="C43" s="5" t="s">
        <v>4</v>
      </c>
      <c r="D43" s="4" t="s">
        <v>3</v>
      </c>
    </row>
    <row r="44" spans="2:4" ht="48" customHeight="1" x14ac:dyDescent="0.2">
      <c r="B44" s="3" t="s">
        <v>2</v>
      </c>
      <c r="C44" s="2" t="s">
        <v>1</v>
      </c>
      <c r="D44" s="1" t="s">
        <v>0</v>
      </c>
    </row>
  </sheetData>
  <mergeCells count="9">
    <mergeCell ref="B31:D31"/>
    <mergeCell ref="B35:D35"/>
    <mergeCell ref="B41:D41"/>
    <mergeCell ref="B2:D2"/>
    <mergeCell ref="B3:D3"/>
    <mergeCell ref="B5:D5"/>
    <mergeCell ref="B7:D7"/>
    <mergeCell ref="B13:D13"/>
    <mergeCell ref="B18:D18"/>
  </mergeCells>
  <conditionalFormatting sqref="D29">
    <cfRule type="containsText" dxfId="0" priority="1" operator="containsText" text="Resurtir">
      <formula>NOT(ISERROR(SEARCH("Resurtir",D29)))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CAPACITACION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Ramirez Gomez</dc:creator>
  <cp:lastModifiedBy>Jonathan Palacios</cp:lastModifiedBy>
  <dcterms:created xsi:type="dcterms:W3CDTF">2026-09-29T20:56:16Z</dcterms:created>
  <dcterms:modified xsi:type="dcterms:W3CDTF">2026-10-01T20:39:21Z</dcterms:modified>
</cp:coreProperties>
</file>